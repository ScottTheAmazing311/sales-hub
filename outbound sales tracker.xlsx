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Input" sheetId="1" r:id="rId5"/>
    <sheet state="visible" name="Weekly Summary" sheetId="2" r:id="rId6"/>
    <sheet state="visible" name="Monthly Summary" sheetId="3" r:id="rId7"/>
    <sheet state="visible" name="YTD Scoreboard" sheetId="4" r:id="rId8"/>
  </sheets>
  <definedNames/>
  <calcPr/>
</workbook>
</file>

<file path=xl/sharedStrings.xml><?xml version="1.0" encoding="utf-8"?>
<sst xmlns="http://schemas.openxmlformats.org/spreadsheetml/2006/main" count="2014" uniqueCount="142">
  <si>
    <t>2026</t>
  </si>
  <si>
    <t>Andrew Rockstroh</t>
  </si>
  <si>
    <t>Bryan Fletcher</t>
  </si>
  <si>
    <t>Coby De Lucia</t>
  </si>
  <si>
    <t>Dave Konkol</t>
  </si>
  <si>
    <t>Matt Delaune</t>
  </si>
  <si>
    <t>Ryan David</t>
  </si>
  <si>
    <t>Tyler Duprey</t>
  </si>
  <si>
    <t>Michael Wynkoop</t>
  </si>
  <si>
    <t>Sydney Darrow</t>
  </si>
  <si>
    <t>Michael Helton</t>
  </si>
  <si>
    <t>Jacob Mann</t>
  </si>
  <si>
    <t>Brandon Steed</t>
  </si>
  <si>
    <t>TEAM TOTALS</t>
  </si>
  <si>
    <t>Date</t>
  </si>
  <si>
    <t>Day</t>
  </si>
  <si>
    <t>Sets</t>
  </si>
  <si>
    <t>Shows</t>
  </si>
  <si>
    <t>CW</t>
  </si>
  <si>
    <t>Show%</t>
  </si>
  <si>
    <t>Close%</t>
  </si>
  <si>
    <t>JANUARY 2026</t>
  </si>
  <si>
    <t>Thu</t>
  </si>
  <si>
    <t>Fri</t>
  </si>
  <si>
    <t>Sat</t>
  </si>
  <si>
    <t>Sun</t>
  </si>
  <si>
    <t>Mon</t>
  </si>
  <si>
    <t>Tue</t>
  </si>
  <si>
    <t>Wed</t>
  </si>
  <si>
    <t>January Total</t>
  </si>
  <si>
    <t>FEBRUARY 2026</t>
  </si>
  <si>
    <t>February Total</t>
  </si>
  <si>
    <t>MARCH 2026</t>
  </si>
  <si>
    <t>March Total</t>
  </si>
  <si>
    <t>APRIL 2026</t>
  </si>
  <si>
    <t>April Total</t>
  </si>
  <si>
    <t>MAY 2026</t>
  </si>
  <si>
    <t>May Total</t>
  </si>
  <si>
    <t>JUNE 2026</t>
  </si>
  <si>
    <t>June Total</t>
  </si>
  <si>
    <t>JULY 2026</t>
  </si>
  <si>
    <t>July Total</t>
  </si>
  <si>
    <t>AUGUST 2026</t>
  </si>
  <si>
    <t>August Total</t>
  </si>
  <si>
    <t>SEPTEMBER 2026</t>
  </si>
  <si>
    <t>September Total</t>
  </si>
  <si>
    <t>OCTOBER 2026</t>
  </si>
  <si>
    <t>October Total</t>
  </si>
  <si>
    <t>NOVEMBER 2026</t>
  </si>
  <si>
    <t>November Total</t>
  </si>
  <si>
    <t>DECEMBER 2026</t>
  </si>
  <si>
    <t>December Total</t>
  </si>
  <si>
    <t>WEEKLY SUMMARY — 2026</t>
  </si>
  <si>
    <t>All 52 weeks with per-rep and team totals. Auto-populated from Daily Input.</t>
  </si>
  <si>
    <t>Week 1  (01/01 – 01/04)</t>
  </si>
  <si>
    <t>Rep</t>
  </si>
  <si>
    <t>Closed Won</t>
  </si>
  <si>
    <t>Show Rate</t>
  </si>
  <si>
    <t>Close Rate</t>
  </si>
  <si>
    <t>TEAM TOTAL</t>
  </si>
  <si>
    <t>Week 2  (01/05 – 01/11)</t>
  </si>
  <si>
    <t>Week 3  (01/12 – 01/18)</t>
  </si>
  <si>
    <t>Week 4  (01/19 – 01/25)</t>
  </si>
  <si>
    <t>Week 5  (01/26 – 02/01)</t>
  </si>
  <si>
    <t>Week 6  (02/02 – 02/08)</t>
  </si>
  <si>
    <t>Week 7  (02/09 – 02/15)</t>
  </si>
  <si>
    <t>Week 8  (02/16 – 02/22)</t>
  </si>
  <si>
    <t>Week 9  (02/23 – 03/01)</t>
  </si>
  <si>
    <t>Week 10  (03/02 – 03/08)</t>
  </si>
  <si>
    <t>Week 11  (03/09 – 03/15)</t>
  </si>
  <si>
    <t>Week 12  (03/16 – 03/22)</t>
  </si>
  <si>
    <t>Week 13  (03/23 – 03/29)</t>
  </si>
  <si>
    <t>Week 14  (03/30 – 04/05)</t>
  </si>
  <si>
    <t>Week 15  (04/06 – 04/12)</t>
  </si>
  <si>
    <t>Week 16  (04/13 – 04/19)</t>
  </si>
  <si>
    <t>Week 17  (04/20 – 04/26)</t>
  </si>
  <si>
    <t>Week 18  (04/27 – 05/03)</t>
  </si>
  <si>
    <t>Week 19  (05/04 – 05/10)</t>
  </si>
  <si>
    <t>Week 20  (05/11 – 05/17)</t>
  </si>
  <si>
    <t>Week 21  (05/18 – 05/24)</t>
  </si>
  <si>
    <t>Week 22  (05/25 – 05/31)</t>
  </si>
  <si>
    <t>Week 23  (06/01 – 06/07)</t>
  </si>
  <si>
    <t>Week 24  (06/08 – 06/14)</t>
  </si>
  <si>
    <t>Week 25  (06/15 – 06/21)</t>
  </si>
  <si>
    <t>Week 26  (06/22 – 06/28)</t>
  </si>
  <si>
    <t>Week 27  (06/29 – 07/05)</t>
  </si>
  <si>
    <t>Week 28  (07/06 – 07/12)</t>
  </si>
  <si>
    <t>Week 29  (07/13 – 07/19)</t>
  </si>
  <si>
    <t>Week 30  (07/20 – 07/26)</t>
  </si>
  <si>
    <t>Week 31  (07/27 – 08/02)</t>
  </si>
  <si>
    <t>Week 32  (08/03 – 08/09)</t>
  </si>
  <si>
    <t>Week 33  (08/10 – 08/16)</t>
  </si>
  <si>
    <t>Week 34  (08/17 – 08/23)</t>
  </si>
  <si>
    <t>Week 35  (08/24 – 08/30)</t>
  </si>
  <si>
    <t>Week 36  (08/31 – 09/06)</t>
  </si>
  <si>
    <t>Week 37  (09/07 – 09/13)</t>
  </si>
  <si>
    <t>Week 38  (09/14 – 09/20)</t>
  </si>
  <si>
    <t>Week 39  (09/21 – 09/27)</t>
  </si>
  <si>
    <t>Week 40  (09/28 – 10/04)</t>
  </si>
  <si>
    <t>Week 41  (10/05 – 10/11)</t>
  </si>
  <si>
    <t>Week 42  (10/12 – 10/18)</t>
  </si>
  <si>
    <t>Week 43  (10/19 – 10/25)</t>
  </si>
  <si>
    <t>Week 44  (10/26 – 11/01)</t>
  </si>
  <si>
    <t>Week 45  (11/02 – 11/08)</t>
  </si>
  <si>
    <t>Week 46  (11/09 – 11/15)</t>
  </si>
  <si>
    <t>Week 47  (11/16 – 11/22)</t>
  </si>
  <si>
    <t>Week 48  (11/23 – 11/29)</t>
  </si>
  <si>
    <t>Week 49  (11/30 – 12/06)</t>
  </si>
  <si>
    <t>Week 50  (12/07 – 12/13)</t>
  </si>
  <si>
    <t>Week 51  (12/14 – 12/20)</t>
  </si>
  <si>
    <t>Week 52  (12/21 – 12/27)</t>
  </si>
  <si>
    <t>Week 53  (12/28 – 12/31)</t>
  </si>
  <si>
    <t>MONTHLY SUMMARY — 2026</t>
  </si>
  <si>
    <t>Avg Daily Sets</t>
  </si>
  <si>
    <t>Best Day Sets</t>
  </si>
  <si>
    <t>YEAR-TO-DATE SCOREBOARD — 2026</t>
  </si>
  <si>
    <t>ANDREW ROCKSTROH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</si>
  <si>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</si>
  <si>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</si>
  <si>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</si>
  <si>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</si>
  <si>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</si>
  <si>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</si>
  <si>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</si>
  <si>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</si>
  <si>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</si>
  <si>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</si>
  <si>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</si>
  <si>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</si>
  <si>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</si>
  <si>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</si>
  <si>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BRYAN FLETCHER</t>
  </si>
  <si>
    <t>COBY DE LUCIA</t>
  </si>
  <si>
    <t>DAVE KONKOL</t>
  </si>
  <si>
    <t>MATT DELAUNE</t>
  </si>
  <si>
    <t>RYAN DAVID</t>
  </si>
  <si>
    <t>TYLER DUPREY</t>
  </si>
  <si>
    <t>MICHAEL WYNKOOP</t>
  </si>
  <si>
    <t>SYDNEY DARROW</t>
  </si>
  <si>
    <t>MICHAEL HELTON</t>
  </si>
  <si>
    <t>JACOB MANN</t>
  </si>
  <si>
    <t>BRANDON STEED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</si>
</sst>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0.0%"/>
    <numFmt numFmtId="166" formatCode="#,##0.0"/>
  </numFmts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/>
    <font>
      <b/>
      <sz val="10.0"/>
      <color rgb="FFFFFFFF"/>
      <name val="Arial"/>
    </font>
    <font>
      <b/>
      <sz val="13.0"/>
      <color rgb="FFFFFFFF"/>
      <name val="Arial"/>
    </font>
    <font>
      <sz val="10.0"/>
      <color theme="1"/>
      <name val="Arial"/>
    </font>
    <font>
      <sz val="9.0"/>
      <color theme="1"/>
      <name val="Arial"/>
    </font>
    <font>
      <sz val="10.0"/>
      <color rgb="FF0000FF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6.0"/>
      <color rgb="FF1B2A4A"/>
      <name val="Arial"/>
    </font>
    <font>
      <i/>
      <sz val="10.0"/>
      <color rgb="FF888888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E7D32"/>
        <bgColor rgb="FF2E7D32"/>
      </patternFill>
    </fill>
    <fill>
      <patternFill patternType="solid">
        <fgColor rgb="FF2D4A7A"/>
        <bgColor rgb="FF2D4A7A"/>
      </patternFill>
    </fill>
    <fill>
      <patternFill patternType="solid">
        <fgColor rgb="FF388E3C"/>
        <bgColor rgb="FF388E3C"/>
      </patternFill>
    </fill>
    <fill>
      <patternFill patternType="solid">
        <fgColor rgb="FF374785"/>
        <bgColor rgb="FF374785"/>
      </patternFill>
    </fill>
    <fill>
      <patternFill patternType="solid">
        <fgColor rgb="FFE8F0FE"/>
        <bgColor rgb="FFE8F0FE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ck">
        <color rgb="FF00000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2" fillId="6" fontId="5" numFmtId="0" xfId="0" applyAlignment="1" applyBorder="1" applyFill="1" applyFont="1">
      <alignment horizontal="left" shrinkToFit="0" vertical="center" wrapText="0"/>
    </xf>
    <xf borderId="1" fillId="0" fontId="6" numFmtId="164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7" fontId="8" numFmtId="3" xfId="0" applyAlignment="1" applyBorder="1" applyFill="1" applyFont="1" applyNumberFormat="1">
      <alignment horizontal="center" readingOrder="0" shrinkToFit="0" vertical="center" wrapText="0"/>
    </xf>
    <xf borderId="1" fillId="7" fontId="8" numFmtId="3" xfId="0" applyAlignment="1" applyBorder="1" applyFont="1" applyNumberFormat="1">
      <alignment horizontal="center" shrinkToFit="0" vertical="center" wrapText="0"/>
    </xf>
    <xf borderId="5" fillId="7" fontId="8" numFmtId="3" xfId="0" applyAlignment="1" applyBorder="1" applyFont="1" applyNumberFormat="1">
      <alignment horizontal="center" shrinkToFit="0" vertical="center" wrapText="0"/>
    </xf>
    <xf borderId="4" fillId="7" fontId="8" numFmtId="3" xfId="0" applyAlignment="1" applyBorder="1" applyFont="1" applyNumberFormat="1">
      <alignment horizontal="center" shrinkToFit="0" vertical="center" wrapText="0"/>
    </xf>
    <xf borderId="6" fillId="7" fontId="8" numFmtId="3" xfId="0" applyAlignment="1" applyBorder="1" applyFont="1" applyNumberFormat="1">
      <alignment horizontal="center" shrinkToFit="0" vertical="center" wrapText="0"/>
    </xf>
    <xf borderId="1" fillId="0" fontId="6" numFmtId="3" xfId="0" applyAlignment="1" applyBorder="1" applyFont="1" applyNumberFormat="1">
      <alignment horizontal="center" shrinkToFit="0" vertical="center" wrapText="0"/>
    </xf>
    <xf borderId="1" fillId="0" fontId="7" numFmtId="165" xfId="0" applyAlignment="1" applyBorder="1" applyFont="1" applyNumberFormat="1">
      <alignment horizontal="center" shrinkToFit="0" vertical="center" wrapText="0"/>
    </xf>
    <xf borderId="1" fillId="8" fontId="8" numFmtId="3" xfId="0" applyAlignment="1" applyBorder="1" applyFill="1" applyFont="1" applyNumberFormat="1">
      <alignment horizontal="center" shrinkToFit="0" vertical="center" wrapText="0"/>
    </xf>
    <xf borderId="1" fillId="8" fontId="8" numFmtId="3" xfId="0" applyAlignment="1" applyBorder="1" applyFont="1" applyNumberFormat="1">
      <alignment horizontal="center" readingOrder="0" shrinkToFit="0" vertical="center" wrapText="0"/>
    </xf>
    <xf borderId="5" fillId="8" fontId="8" numFmtId="3" xfId="0" applyAlignment="1" applyBorder="1" applyFont="1" applyNumberFormat="1">
      <alignment horizontal="center" shrinkToFit="0" vertical="center" wrapText="0"/>
    </xf>
    <xf borderId="4" fillId="8" fontId="8" numFmtId="3" xfId="0" applyAlignment="1" applyBorder="1" applyFont="1" applyNumberFormat="1">
      <alignment horizontal="center" shrinkToFit="0" vertical="center" wrapText="0"/>
    </xf>
    <xf borderId="6" fillId="8" fontId="8" numFmtId="3" xfId="0" applyAlignment="1" applyBorder="1" applyFont="1" applyNumberFormat="1">
      <alignment horizontal="center" shrinkToFit="0" vertical="center" wrapText="0"/>
    </xf>
    <xf borderId="4" fillId="7" fontId="8" numFmtId="3" xfId="0" applyAlignment="1" applyBorder="1" applyFont="1" applyNumberFormat="1">
      <alignment horizontal="center" readingOrder="0" shrinkToFit="0" vertical="center" wrapText="0"/>
    </xf>
    <xf borderId="4" fillId="8" fontId="8" numFmtId="3" xfId="0" applyAlignment="1" applyBorder="1" applyFont="1" applyNumberFormat="1">
      <alignment horizontal="center" readingOrder="0" shrinkToFit="0" vertical="center" wrapText="0"/>
    </xf>
    <xf borderId="1" fillId="9" fontId="9" numFmtId="0" xfId="0" applyAlignment="1" applyBorder="1" applyFill="1" applyFont="1">
      <alignment horizontal="left" shrinkToFit="0" vertical="center" wrapText="0"/>
    </xf>
    <xf borderId="1" fillId="9" fontId="2" numFmtId="0" xfId="0" applyAlignment="1" applyBorder="1" applyFont="1">
      <alignment shrinkToFit="0" vertical="bottom" wrapText="0"/>
    </xf>
    <xf borderId="1" fillId="9" fontId="10" numFmtId="3" xfId="0" applyAlignment="1" applyBorder="1" applyFont="1" applyNumberFormat="1">
      <alignment horizontal="center" shrinkToFit="0" vertical="center" wrapText="0"/>
    </xf>
    <xf borderId="1" fillId="10" fontId="10" numFmtId="3" xfId="0" applyAlignment="1" applyBorder="1" applyFill="1" applyFont="1" applyNumberFormat="1">
      <alignment horizontal="center" shrinkToFit="0" vertical="center" wrapText="0"/>
    </xf>
    <xf borderId="1" fillId="10" fontId="10" numFmtId="165" xfId="0" applyAlignment="1" applyBorder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2" fillId="4" fontId="1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6" numFmtId="165" xfId="0" applyAlignment="1" applyBorder="1" applyFont="1" applyNumberFormat="1">
      <alignment horizontal="center" shrinkToFit="0" vertical="center" wrapText="0"/>
    </xf>
    <xf borderId="1" fillId="10" fontId="10" numFmtId="0" xfId="0" applyAlignment="1" applyBorder="1" applyFont="1">
      <alignment horizontal="left" shrinkToFit="0" vertical="center" wrapText="0"/>
    </xf>
    <xf borderId="1" fillId="0" fontId="10" numFmtId="0" xfId="0" applyAlignment="1" applyBorder="1" applyFont="1">
      <alignment horizontal="left" shrinkToFit="0" vertical="center" wrapText="0"/>
    </xf>
    <xf borderId="1" fillId="0" fontId="6" numFmtId="166" xfId="0" applyAlignment="1" applyBorder="1" applyFont="1" applyNumberFormat="1">
      <alignment horizontal="center" shrinkToFit="0" vertical="center" wrapText="0"/>
    </xf>
    <xf borderId="1" fillId="10" fontId="9" numFmtId="0" xfId="0" applyAlignment="1" applyBorder="1" applyFont="1">
      <alignment horizontal="left" shrinkToFit="0" vertical="center" wrapText="0"/>
    </xf>
    <xf borderId="1" fillId="10" fontId="9" numFmtId="3" xfId="0" applyAlignment="1" applyBorder="1" applyFont="1" applyNumberFormat="1">
      <alignment horizontal="center" shrinkToFit="0" vertical="center" wrapText="0"/>
    </xf>
    <xf borderId="1" fillId="10" fontId="9" numFmtId="165" xfId="0" applyAlignment="1" applyBorder="1" applyFont="1" applyNumberFormat="1">
      <alignment horizontal="center" shrinkToFit="0" vertical="center" wrapText="0"/>
    </xf>
    <xf borderId="1" fillId="10" fontId="9" numFmtId="166" xfId="0" applyAlignment="1" applyBorder="1" applyFont="1" applyNumberFormat="1">
      <alignment horizontal="center" shrinkToFit="0" vertical="center" wrapText="0"/>
    </xf>
    <xf borderId="2" fillId="2" fontId="5" numFmtId="0" xfId="0" applyAlignment="1" applyBorder="1" applyFont="1">
      <alignment shrinkToFit="0" vertical="bottom" wrapText="0"/>
    </xf>
    <xf borderId="1" fillId="11" fontId="9" numFmtId="0" xfId="0" applyAlignment="1" applyBorder="1" applyFill="1" applyFont="1">
      <alignment horizontal="left" shrinkToFit="0" vertical="center" wrapText="0"/>
    </xf>
    <xf borderId="1" fillId="11" fontId="9" numFmtId="3" xfId="0" applyAlignment="1" applyBorder="1" applyFont="1" applyNumberFormat="1">
      <alignment horizontal="center" shrinkToFit="0" vertical="center" wrapText="0"/>
    </xf>
    <xf borderId="1" fillId="11" fontId="10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6.0"/>
    <col customWidth="1" min="3" max="38" width="8.0"/>
    <col customWidth="1" min="39" max="43" width="9.0"/>
  </cols>
  <sheetData>
    <row r="1" ht="25.5" customHeight="1">
      <c r="A1" s="1" t="s">
        <v>0</v>
      </c>
      <c r="B1" s="2"/>
      <c r="C1" s="3" t="s">
        <v>1</v>
      </c>
      <c r="D1" s="4"/>
      <c r="E1" s="5"/>
      <c r="F1" s="3" t="s">
        <v>2</v>
      </c>
      <c r="G1" s="4"/>
      <c r="H1" s="5"/>
      <c r="I1" s="3" t="s">
        <v>3</v>
      </c>
      <c r="J1" s="4"/>
      <c r="K1" s="5"/>
      <c r="L1" s="3" t="s">
        <v>4</v>
      </c>
      <c r="M1" s="4"/>
      <c r="N1" s="5"/>
      <c r="O1" s="3" t="s">
        <v>5</v>
      </c>
      <c r="P1" s="4"/>
      <c r="Q1" s="5"/>
      <c r="R1" s="3" t="s">
        <v>6</v>
      </c>
      <c r="S1" s="4"/>
      <c r="T1" s="5"/>
      <c r="U1" s="3" t="s">
        <v>7</v>
      </c>
      <c r="V1" s="4"/>
      <c r="W1" s="5"/>
      <c r="X1" s="3" t="s">
        <v>8</v>
      </c>
      <c r="Y1" s="4"/>
      <c r="Z1" s="5"/>
      <c r="AA1" s="3" t="s">
        <v>9</v>
      </c>
      <c r="AB1" s="4"/>
      <c r="AC1" s="5"/>
      <c r="AD1" s="3" t="s">
        <v>10</v>
      </c>
      <c r="AE1" s="4"/>
      <c r="AF1" s="5"/>
      <c r="AG1" s="3" t="s">
        <v>11</v>
      </c>
      <c r="AH1" s="4"/>
      <c r="AI1" s="5"/>
      <c r="AJ1" s="3" t="s">
        <v>12</v>
      </c>
      <c r="AK1" s="4"/>
      <c r="AL1" s="5"/>
      <c r="AM1" s="6" t="s">
        <v>13</v>
      </c>
      <c r="AN1" s="4"/>
      <c r="AO1" s="4"/>
      <c r="AP1" s="4"/>
      <c r="AQ1" s="5"/>
    </row>
    <row r="2" ht="24.0" customHeight="1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16</v>
      </c>
      <c r="G2" s="7" t="s">
        <v>17</v>
      </c>
      <c r="H2" s="7" t="s">
        <v>18</v>
      </c>
      <c r="I2" s="7" t="s">
        <v>16</v>
      </c>
      <c r="J2" s="7" t="s">
        <v>17</v>
      </c>
      <c r="K2" s="7" t="s">
        <v>18</v>
      </c>
      <c r="L2" s="7" t="s">
        <v>16</v>
      </c>
      <c r="M2" s="7" t="s">
        <v>17</v>
      </c>
      <c r="N2" s="7" t="s">
        <v>18</v>
      </c>
      <c r="O2" s="7" t="s">
        <v>16</v>
      </c>
      <c r="P2" s="7" t="s">
        <v>17</v>
      </c>
      <c r="Q2" s="7" t="s">
        <v>18</v>
      </c>
      <c r="R2" s="7" t="s">
        <v>16</v>
      </c>
      <c r="S2" s="7" t="s">
        <v>17</v>
      </c>
      <c r="T2" s="7" t="s">
        <v>18</v>
      </c>
      <c r="U2" s="7" t="s">
        <v>16</v>
      </c>
      <c r="V2" s="7" t="s">
        <v>17</v>
      </c>
      <c r="W2" s="7" t="s">
        <v>18</v>
      </c>
      <c r="X2" s="7" t="s">
        <v>16</v>
      </c>
      <c r="Y2" s="7" t="s">
        <v>17</v>
      </c>
      <c r="Z2" s="7" t="s">
        <v>18</v>
      </c>
      <c r="AA2" s="7" t="s">
        <v>16</v>
      </c>
      <c r="AB2" s="7" t="s">
        <v>17</v>
      </c>
      <c r="AC2" s="7" t="s">
        <v>18</v>
      </c>
      <c r="AD2" s="7" t="s">
        <v>16</v>
      </c>
      <c r="AE2" s="7" t="s">
        <v>17</v>
      </c>
      <c r="AF2" s="7" t="s">
        <v>18</v>
      </c>
      <c r="AG2" s="7" t="s">
        <v>16</v>
      </c>
      <c r="AH2" s="7" t="s">
        <v>17</v>
      </c>
      <c r="AI2" s="7" t="s">
        <v>18</v>
      </c>
      <c r="AJ2" s="7" t="s">
        <v>16</v>
      </c>
      <c r="AK2" s="7" t="s">
        <v>17</v>
      </c>
      <c r="AL2" s="7" t="s">
        <v>18</v>
      </c>
      <c r="AM2" s="8" t="s">
        <v>16</v>
      </c>
      <c r="AN2" s="8" t="s">
        <v>17</v>
      </c>
      <c r="AO2" s="8" t="s">
        <v>18</v>
      </c>
      <c r="AP2" s="8" t="s">
        <v>19</v>
      </c>
      <c r="AQ2" s="8" t="s">
        <v>20</v>
      </c>
    </row>
    <row r="3" ht="27.75" customHeight="1">
      <c r="A3" s="9" t="s">
        <v>21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5"/>
    </row>
    <row r="4">
      <c r="A4" s="10">
        <v>46023.0</v>
      </c>
      <c r="B4" s="11" t="s">
        <v>22</v>
      </c>
      <c r="C4" s="12">
        <v>1.0</v>
      </c>
      <c r="D4" s="13"/>
      <c r="E4" s="14"/>
      <c r="F4" s="15"/>
      <c r="G4" s="13"/>
      <c r="H4" s="14"/>
      <c r="I4" s="15"/>
      <c r="J4" s="13"/>
      <c r="K4" s="14"/>
      <c r="L4" s="15"/>
      <c r="M4" s="13"/>
      <c r="N4" s="14"/>
      <c r="O4" s="15"/>
      <c r="P4" s="13"/>
      <c r="Q4" s="16"/>
      <c r="R4" s="15"/>
      <c r="S4" s="13"/>
      <c r="T4" s="16"/>
      <c r="U4" s="15"/>
      <c r="V4" s="13"/>
      <c r="W4" s="16"/>
      <c r="X4" s="15"/>
      <c r="Y4" s="13"/>
      <c r="Z4" s="16"/>
      <c r="AA4" s="15"/>
      <c r="AB4" s="13"/>
      <c r="AC4" s="16"/>
      <c r="AD4" s="15"/>
      <c r="AE4" s="13"/>
      <c r="AF4" s="13"/>
      <c r="AG4" s="13"/>
      <c r="AH4" s="13"/>
      <c r="AI4" s="13"/>
      <c r="AJ4" s="13"/>
      <c r="AK4" s="13"/>
      <c r="AL4" s="13"/>
      <c r="AM4" s="17">
        <f t="shared" ref="AM4:AO4" si="1">C4+F4+I4+L4+O4+R4+U4+X4+AA4+AD4+AG4+AJ4</f>
        <v>1</v>
      </c>
      <c r="AN4" s="17">
        <f t="shared" si="1"/>
        <v>0</v>
      </c>
      <c r="AO4" s="17">
        <f t="shared" si="1"/>
        <v>0</v>
      </c>
      <c r="AP4" s="18">
        <f t="shared" ref="AP4:AQ4" si="2">IF(AM4=0,0,AN4/AM4)</f>
        <v>0</v>
      </c>
      <c r="AQ4" s="18">
        <f t="shared" si="2"/>
        <v>0</v>
      </c>
    </row>
    <row r="5">
      <c r="A5" s="10">
        <v>46024.0</v>
      </c>
      <c r="B5" s="11" t="s">
        <v>23</v>
      </c>
      <c r="C5" s="13"/>
      <c r="D5" s="13"/>
      <c r="E5" s="14"/>
      <c r="F5" s="15"/>
      <c r="G5" s="13"/>
      <c r="H5" s="14"/>
      <c r="I5" s="15"/>
      <c r="J5" s="13"/>
      <c r="K5" s="14"/>
      <c r="L5" s="15"/>
      <c r="M5" s="13"/>
      <c r="N5" s="14"/>
      <c r="O5" s="15"/>
      <c r="P5" s="13"/>
      <c r="Q5" s="16"/>
      <c r="R5" s="15"/>
      <c r="S5" s="13"/>
      <c r="T5" s="16"/>
      <c r="U5" s="15"/>
      <c r="V5" s="13"/>
      <c r="W5" s="16"/>
      <c r="X5" s="15"/>
      <c r="Y5" s="13"/>
      <c r="Z5" s="16"/>
      <c r="AA5" s="15"/>
      <c r="AB5" s="13"/>
      <c r="AC5" s="16"/>
      <c r="AD5" s="15"/>
      <c r="AE5" s="13"/>
      <c r="AF5" s="13"/>
      <c r="AG5" s="13"/>
      <c r="AH5" s="13"/>
      <c r="AI5" s="13"/>
      <c r="AJ5" s="13"/>
      <c r="AK5" s="13"/>
      <c r="AL5" s="13"/>
      <c r="AM5" s="17">
        <f t="shared" ref="AM5:AO5" si="3">C5+F5+I5+L5+O5+R5+U5+X5+AA5+AD5+AG5+AJ5</f>
        <v>0</v>
      </c>
      <c r="AN5" s="17">
        <f t="shared" si="3"/>
        <v>0</v>
      </c>
      <c r="AO5" s="17">
        <f t="shared" si="3"/>
        <v>0</v>
      </c>
      <c r="AP5" s="18">
        <f t="shared" ref="AP5:AQ5" si="4">IF(AM5=0,0,AN5/AM5)</f>
        <v>0</v>
      </c>
      <c r="AQ5" s="18">
        <f t="shared" si="4"/>
        <v>0</v>
      </c>
    </row>
    <row r="6">
      <c r="A6" s="10">
        <v>46025.0</v>
      </c>
      <c r="B6" s="11" t="s">
        <v>24</v>
      </c>
      <c r="C6" s="19"/>
      <c r="D6" s="20">
        <v>1.0</v>
      </c>
      <c r="E6" s="21"/>
      <c r="F6" s="22"/>
      <c r="G6" s="19"/>
      <c r="H6" s="21"/>
      <c r="I6" s="22"/>
      <c r="J6" s="19"/>
      <c r="K6" s="21"/>
      <c r="L6" s="22"/>
      <c r="M6" s="19"/>
      <c r="N6" s="21"/>
      <c r="O6" s="22"/>
      <c r="P6" s="19"/>
      <c r="Q6" s="23"/>
      <c r="R6" s="22"/>
      <c r="S6" s="19"/>
      <c r="T6" s="23"/>
      <c r="U6" s="22"/>
      <c r="V6" s="19"/>
      <c r="W6" s="23"/>
      <c r="X6" s="22"/>
      <c r="Y6" s="19"/>
      <c r="Z6" s="23"/>
      <c r="AA6" s="22"/>
      <c r="AB6" s="19"/>
      <c r="AC6" s="23"/>
      <c r="AD6" s="22"/>
      <c r="AE6" s="19"/>
      <c r="AF6" s="19"/>
      <c r="AG6" s="19"/>
      <c r="AH6" s="19"/>
      <c r="AI6" s="19"/>
      <c r="AJ6" s="19"/>
      <c r="AK6" s="19"/>
      <c r="AL6" s="19"/>
      <c r="AM6" s="17">
        <f t="shared" ref="AM6:AO6" si="5">C6+F6+I6+L6+O6+R6+U6+X6+AA6+AD6+AG6+AJ6</f>
        <v>0</v>
      </c>
      <c r="AN6" s="17">
        <f t="shared" si="5"/>
        <v>1</v>
      </c>
      <c r="AO6" s="17">
        <f t="shared" si="5"/>
        <v>0</v>
      </c>
      <c r="AP6" s="18">
        <f t="shared" ref="AP6:AQ6" si="6">IF(AM6=0,0,AN6/AM6)</f>
        <v>0</v>
      </c>
      <c r="AQ6" s="18">
        <f t="shared" si="6"/>
        <v>0</v>
      </c>
    </row>
    <row r="7">
      <c r="A7" s="10">
        <v>46026.0</v>
      </c>
      <c r="B7" s="11" t="s">
        <v>25</v>
      </c>
      <c r="C7" s="19"/>
      <c r="D7" s="19"/>
      <c r="E7" s="21"/>
      <c r="F7" s="22"/>
      <c r="G7" s="19"/>
      <c r="H7" s="21"/>
      <c r="I7" s="22"/>
      <c r="J7" s="19"/>
      <c r="K7" s="21"/>
      <c r="L7" s="22"/>
      <c r="M7" s="19"/>
      <c r="N7" s="21"/>
      <c r="O7" s="22"/>
      <c r="P7" s="19"/>
      <c r="Q7" s="23"/>
      <c r="R7" s="22"/>
      <c r="S7" s="19"/>
      <c r="T7" s="23"/>
      <c r="U7" s="22"/>
      <c r="V7" s="19"/>
      <c r="W7" s="23"/>
      <c r="X7" s="22"/>
      <c r="Y7" s="19"/>
      <c r="Z7" s="23"/>
      <c r="AA7" s="22"/>
      <c r="AB7" s="19"/>
      <c r="AC7" s="23"/>
      <c r="AD7" s="22"/>
      <c r="AE7" s="19"/>
      <c r="AF7" s="19"/>
      <c r="AG7" s="19"/>
      <c r="AH7" s="19"/>
      <c r="AI7" s="19"/>
      <c r="AJ7" s="19"/>
      <c r="AK7" s="19"/>
      <c r="AL7" s="19"/>
      <c r="AM7" s="17">
        <f t="shared" ref="AM7:AO7" si="7">C7+F7+I7+L7+O7+R7+U7+X7+AA7+AD7+AG7+AJ7</f>
        <v>0</v>
      </c>
      <c r="AN7" s="17">
        <f t="shared" si="7"/>
        <v>0</v>
      </c>
      <c r="AO7" s="17">
        <f t="shared" si="7"/>
        <v>0</v>
      </c>
      <c r="AP7" s="18">
        <f t="shared" ref="AP7:AQ7" si="8">IF(AM7=0,0,AN7/AM7)</f>
        <v>0</v>
      </c>
      <c r="AQ7" s="18">
        <f t="shared" si="8"/>
        <v>0</v>
      </c>
    </row>
    <row r="8">
      <c r="A8" s="10">
        <v>46027.0</v>
      </c>
      <c r="B8" s="11" t="s">
        <v>26</v>
      </c>
      <c r="C8" s="12">
        <v>4.0</v>
      </c>
      <c r="D8" s="13"/>
      <c r="E8" s="14"/>
      <c r="F8" s="24">
        <v>4.0</v>
      </c>
      <c r="G8" s="13"/>
      <c r="H8" s="14"/>
      <c r="I8" s="15"/>
      <c r="J8" s="13"/>
      <c r="K8" s="14"/>
      <c r="L8" s="24">
        <v>1.0</v>
      </c>
      <c r="M8" s="13"/>
      <c r="N8" s="14"/>
      <c r="O8" s="24">
        <v>1.0</v>
      </c>
      <c r="P8" s="13"/>
      <c r="Q8" s="16"/>
      <c r="R8" s="24">
        <v>1.0</v>
      </c>
      <c r="S8" s="12">
        <v>1.0</v>
      </c>
      <c r="T8" s="16"/>
      <c r="U8" s="15"/>
      <c r="V8" s="13"/>
      <c r="W8" s="16"/>
      <c r="X8" s="15"/>
      <c r="Y8" s="13"/>
      <c r="Z8" s="16"/>
      <c r="AA8" s="15"/>
      <c r="AB8" s="13"/>
      <c r="AC8" s="16"/>
      <c r="AD8" s="15"/>
      <c r="AE8" s="13"/>
      <c r="AF8" s="13"/>
      <c r="AG8" s="13"/>
      <c r="AH8" s="13"/>
      <c r="AI8" s="13"/>
      <c r="AJ8" s="13"/>
      <c r="AK8" s="13"/>
      <c r="AL8" s="13"/>
      <c r="AM8" s="17">
        <f t="shared" ref="AM8:AO8" si="9">C8+F8+I8+L8+O8+R8+U8+X8+AA8+AD8+AG8+AJ8</f>
        <v>11</v>
      </c>
      <c r="AN8" s="17">
        <f t="shared" si="9"/>
        <v>1</v>
      </c>
      <c r="AO8" s="17">
        <f t="shared" si="9"/>
        <v>0</v>
      </c>
      <c r="AP8" s="18">
        <f t="shared" ref="AP8:AQ8" si="10">IF(AM8=0,0,AN8/AM8)</f>
        <v>0.09090909091</v>
      </c>
      <c r="AQ8" s="18">
        <f t="shared" si="10"/>
        <v>0</v>
      </c>
    </row>
    <row r="9">
      <c r="A9" s="10">
        <v>46028.0</v>
      </c>
      <c r="B9" s="11" t="s">
        <v>27</v>
      </c>
      <c r="C9" s="12">
        <v>3.0</v>
      </c>
      <c r="D9" s="13"/>
      <c r="E9" s="14"/>
      <c r="F9" s="24">
        <v>1.0</v>
      </c>
      <c r="G9" s="13"/>
      <c r="H9" s="14"/>
      <c r="I9" s="24">
        <v>1.0</v>
      </c>
      <c r="J9" s="13"/>
      <c r="K9" s="14"/>
      <c r="L9" s="15"/>
      <c r="M9" s="13"/>
      <c r="N9" s="14"/>
      <c r="O9" s="15"/>
      <c r="P9" s="12">
        <v>1.0</v>
      </c>
      <c r="Q9" s="16"/>
      <c r="R9" s="24">
        <v>2.0</v>
      </c>
      <c r="S9" s="12">
        <v>1.0</v>
      </c>
      <c r="T9" s="16"/>
      <c r="U9" s="15"/>
      <c r="V9" s="13"/>
      <c r="W9" s="16"/>
      <c r="X9" s="15"/>
      <c r="Y9" s="13"/>
      <c r="Z9" s="16"/>
      <c r="AA9" s="15"/>
      <c r="AB9" s="13"/>
      <c r="AC9" s="16"/>
      <c r="AD9" s="15"/>
      <c r="AE9" s="13"/>
      <c r="AF9" s="13"/>
      <c r="AG9" s="13"/>
      <c r="AH9" s="13"/>
      <c r="AI9" s="13"/>
      <c r="AJ9" s="13"/>
      <c r="AK9" s="13"/>
      <c r="AL9" s="13"/>
      <c r="AM9" s="17">
        <f t="shared" ref="AM9:AO9" si="11">C9+F9+I9+L9+O9+R9+U9+X9+AA9+AD9+AG9+AJ9</f>
        <v>7</v>
      </c>
      <c r="AN9" s="17">
        <f t="shared" si="11"/>
        <v>2</v>
      </c>
      <c r="AO9" s="17">
        <f t="shared" si="11"/>
        <v>0</v>
      </c>
      <c r="AP9" s="18">
        <f t="shared" ref="AP9:AQ9" si="12">IF(AM9=0,0,AN9/AM9)</f>
        <v>0.2857142857</v>
      </c>
      <c r="AQ9" s="18">
        <f t="shared" si="12"/>
        <v>0</v>
      </c>
    </row>
    <row r="10">
      <c r="A10" s="10">
        <v>46029.0</v>
      </c>
      <c r="B10" s="11" t="s">
        <v>28</v>
      </c>
      <c r="C10" s="12">
        <v>2.0</v>
      </c>
      <c r="D10" s="13"/>
      <c r="E10" s="14"/>
      <c r="F10" s="15"/>
      <c r="G10" s="12">
        <v>1.0</v>
      </c>
      <c r="H10" s="14"/>
      <c r="I10" s="15"/>
      <c r="J10" s="13"/>
      <c r="K10" s="14"/>
      <c r="L10" s="24">
        <v>2.0</v>
      </c>
      <c r="M10" s="12">
        <v>1.0</v>
      </c>
      <c r="N10" s="14"/>
      <c r="O10" s="24">
        <v>1.0</v>
      </c>
      <c r="P10" s="13"/>
      <c r="Q10" s="16"/>
      <c r="R10" s="15"/>
      <c r="S10" s="13"/>
      <c r="T10" s="16"/>
      <c r="U10" s="15"/>
      <c r="V10" s="13"/>
      <c r="W10" s="16"/>
      <c r="X10" s="15"/>
      <c r="Y10" s="13"/>
      <c r="Z10" s="16"/>
      <c r="AA10" s="15"/>
      <c r="AB10" s="13"/>
      <c r="AC10" s="16"/>
      <c r="AD10" s="15"/>
      <c r="AE10" s="13"/>
      <c r="AF10" s="13"/>
      <c r="AG10" s="13"/>
      <c r="AH10" s="13"/>
      <c r="AI10" s="13"/>
      <c r="AJ10" s="13"/>
      <c r="AK10" s="13"/>
      <c r="AL10" s="13"/>
      <c r="AM10" s="17">
        <f t="shared" ref="AM10:AO10" si="13">C10+F10+I10+L10+O10+R10+U10+X10+AA10+AD10+AG10+AJ10</f>
        <v>5</v>
      </c>
      <c r="AN10" s="17">
        <f t="shared" si="13"/>
        <v>2</v>
      </c>
      <c r="AO10" s="17">
        <f t="shared" si="13"/>
        <v>0</v>
      </c>
      <c r="AP10" s="18">
        <f t="shared" ref="AP10:AQ10" si="14">IF(AM10=0,0,AN10/AM10)</f>
        <v>0.4</v>
      </c>
      <c r="AQ10" s="18">
        <f t="shared" si="14"/>
        <v>0</v>
      </c>
    </row>
    <row r="11">
      <c r="A11" s="10">
        <v>46030.0</v>
      </c>
      <c r="B11" s="11" t="s">
        <v>22</v>
      </c>
      <c r="C11" s="12">
        <v>4.0</v>
      </c>
      <c r="D11" s="12">
        <v>1.0</v>
      </c>
      <c r="E11" s="14"/>
      <c r="F11" s="24">
        <v>2.0</v>
      </c>
      <c r="G11" s="13"/>
      <c r="H11" s="14"/>
      <c r="I11" s="15"/>
      <c r="J11" s="13"/>
      <c r="K11" s="14"/>
      <c r="L11" s="15"/>
      <c r="M11" s="13"/>
      <c r="N11" s="14"/>
      <c r="O11" s="24">
        <v>1.0</v>
      </c>
      <c r="P11" s="12">
        <v>1.0</v>
      </c>
      <c r="Q11" s="16"/>
      <c r="R11" s="24">
        <v>1.0</v>
      </c>
      <c r="S11" s="13"/>
      <c r="T11" s="16"/>
      <c r="U11" s="24">
        <v>1.0</v>
      </c>
      <c r="V11" s="13"/>
      <c r="W11" s="16"/>
      <c r="X11" s="15"/>
      <c r="Y11" s="13"/>
      <c r="Z11" s="16"/>
      <c r="AA11" s="15"/>
      <c r="AB11" s="13"/>
      <c r="AC11" s="16"/>
      <c r="AD11" s="15"/>
      <c r="AE11" s="13"/>
      <c r="AF11" s="13"/>
      <c r="AG11" s="13"/>
      <c r="AH11" s="13"/>
      <c r="AI11" s="13"/>
      <c r="AJ11" s="13"/>
      <c r="AK11" s="13"/>
      <c r="AL11" s="13"/>
      <c r="AM11" s="17">
        <f t="shared" ref="AM11:AO11" si="15">C11+F11+I11+L11+O11+R11+U11+X11+AA11+AD11+AG11+AJ11</f>
        <v>9</v>
      </c>
      <c r="AN11" s="17">
        <f t="shared" si="15"/>
        <v>2</v>
      </c>
      <c r="AO11" s="17">
        <f t="shared" si="15"/>
        <v>0</v>
      </c>
      <c r="AP11" s="18">
        <f t="shared" ref="AP11:AQ11" si="16">IF(AM11=0,0,AN11/AM11)</f>
        <v>0.2222222222</v>
      </c>
      <c r="AQ11" s="18">
        <f t="shared" si="16"/>
        <v>0</v>
      </c>
    </row>
    <row r="12">
      <c r="A12" s="10">
        <v>46031.0</v>
      </c>
      <c r="B12" s="11" t="s">
        <v>23</v>
      </c>
      <c r="C12" s="13"/>
      <c r="D12" s="12">
        <v>4.0</v>
      </c>
      <c r="E12" s="14"/>
      <c r="F12" s="15"/>
      <c r="G12" s="12">
        <v>1.0</v>
      </c>
      <c r="H12" s="14"/>
      <c r="I12" s="15"/>
      <c r="J12" s="13"/>
      <c r="K12" s="14"/>
      <c r="L12" s="15"/>
      <c r="M12" s="13"/>
      <c r="N12" s="14"/>
      <c r="O12" s="15"/>
      <c r="P12" s="13"/>
      <c r="Q12" s="16"/>
      <c r="R12" s="24">
        <v>1.0</v>
      </c>
      <c r="S12" s="13"/>
      <c r="T12" s="16"/>
      <c r="U12" s="15"/>
      <c r="V12" s="12">
        <v>1.0</v>
      </c>
      <c r="W12" s="16"/>
      <c r="X12" s="15"/>
      <c r="Y12" s="13"/>
      <c r="Z12" s="16"/>
      <c r="AA12" s="15"/>
      <c r="AB12" s="13"/>
      <c r="AC12" s="16"/>
      <c r="AD12" s="15"/>
      <c r="AE12" s="13"/>
      <c r="AF12" s="13"/>
      <c r="AG12" s="13"/>
      <c r="AH12" s="13"/>
      <c r="AI12" s="13"/>
      <c r="AJ12" s="13"/>
      <c r="AK12" s="13"/>
      <c r="AL12" s="13"/>
      <c r="AM12" s="17">
        <f t="shared" ref="AM12:AO12" si="17">C12+F12+I12+L12+O12+R12+U12+X12+AA12+AD12+AG12+AJ12</f>
        <v>1</v>
      </c>
      <c r="AN12" s="17">
        <f t="shared" si="17"/>
        <v>6</v>
      </c>
      <c r="AO12" s="17">
        <f t="shared" si="17"/>
        <v>0</v>
      </c>
      <c r="AP12" s="18">
        <f t="shared" ref="AP12:AQ12" si="18">IF(AM12=0,0,AN12/AM12)</f>
        <v>6</v>
      </c>
      <c r="AQ12" s="18">
        <f t="shared" si="18"/>
        <v>0</v>
      </c>
    </row>
    <row r="13">
      <c r="A13" s="10">
        <v>46032.0</v>
      </c>
      <c r="B13" s="11" t="s">
        <v>24</v>
      </c>
      <c r="C13" s="19"/>
      <c r="D13" s="19"/>
      <c r="E13" s="21"/>
      <c r="F13" s="22"/>
      <c r="G13" s="19"/>
      <c r="H13" s="21"/>
      <c r="I13" s="22"/>
      <c r="J13" s="19"/>
      <c r="K13" s="21"/>
      <c r="L13" s="22"/>
      <c r="M13" s="19"/>
      <c r="N13" s="21"/>
      <c r="O13" s="22"/>
      <c r="P13" s="19"/>
      <c r="Q13" s="23"/>
      <c r="R13" s="22"/>
      <c r="S13" s="19"/>
      <c r="T13" s="23"/>
      <c r="U13" s="22"/>
      <c r="V13" s="19"/>
      <c r="W13" s="23"/>
      <c r="X13" s="22"/>
      <c r="Y13" s="19"/>
      <c r="Z13" s="23"/>
      <c r="AA13" s="22"/>
      <c r="AB13" s="19"/>
      <c r="AC13" s="23"/>
      <c r="AD13" s="22"/>
      <c r="AE13" s="19"/>
      <c r="AF13" s="19"/>
      <c r="AG13" s="19"/>
      <c r="AH13" s="19"/>
      <c r="AI13" s="19"/>
      <c r="AJ13" s="19"/>
      <c r="AK13" s="19"/>
      <c r="AL13" s="19"/>
      <c r="AM13" s="17">
        <f t="shared" ref="AM13:AO13" si="19">C13+F13+I13+L13+O13+R13+U13+X13+AA13+AD13+AG13+AJ13</f>
        <v>0</v>
      </c>
      <c r="AN13" s="17">
        <f t="shared" si="19"/>
        <v>0</v>
      </c>
      <c r="AO13" s="17">
        <f t="shared" si="19"/>
        <v>0</v>
      </c>
      <c r="AP13" s="18">
        <f t="shared" ref="AP13:AQ13" si="20">IF(AM13=0,0,AN13/AM13)</f>
        <v>0</v>
      </c>
      <c r="AQ13" s="18">
        <f t="shared" si="20"/>
        <v>0</v>
      </c>
    </row>
    <row r="14">
      <c r="A14" s="10">
        <v>46033.0</v>
      </c>
      <c r="B14" s="11" t="s">
        <v>25</v>
      </c>
      <c r="C14" s="19"/>
      <c r="D14" s="19"/>
      <c r="E14" s="21"/>
      <c r="F14" s="22"/>
      <c r="G14" s="19"/>
      <c r="H14" s="21"/>
      <c r="I14" s="22"/>
      <c r="J14" s="19"/>
      <c r="K14" s="21"/>
      <c r="L14" s="22"/>
      <c r="M14" s="19"/>
      <c r="N14" s="21"/>
      <c r="O14" s="22"/>
      <c r="P14" s="19"/>
      <c r="Q14" s="23"/>
      <c r="R14" s="22"/>
      <c r="S14" s="19"/>
      <c r="T14" s="23"/>
      <c r="U14" s="22"/>
      <c r="V14" s="19"/>
      <c r="W14" s="23"/>
      <c r="X14" s="22"/>
      <c r="Y14" s="19"/>
      <c r="Z14" s="23"/>
      <c r="AA14" s="22"/>
      <c r="AB14" s="19"/>
      <c r="AC14" s="23"/>
      <c r="AD14" s="22"/>
      <c r="AE14" s="19"/>
      <c r="AF14" s="19"/>
      <c r="AG14" s="19"/>
      <c r="AH14" s="19"/>
      <c r="AI14" s="19"/>
      <c r="AJ14" s="19"/>
      <c r="AK14" s="19"/>
      <c r="AL14" s="19"/>
      <c r="AM14" s="17">
        <f t="shared" ref="AM14:AO14" si="21">C14+F14+I14+L14+O14+R14+U14+X14+AA14+AD14+AG14+AJ14</f>
        <v>0</v>
      </c>
      <c r="AN14" s="17">
        <f t="shared" si="21"/>
        <v>0</v>
      </c>
      <c r="AO14" s="17">
        <f t="shared" si="21"/>
        <v>0</v>
      </c>
      <c r="AP14" s="18">
        <f t="shared" ref="AP14:AQ14" si="22">IF(AM14=0,0,AN14/AM14)</f>
        <v>0</v>
      </c>
      <c r="AQ14" s="18">
        <f t="shared" si="22"/>
        <v>0</v>
      </c>
    </row>
    <row r="15">
      <c r="A15" s="10">
        <v>46034.0</v>
      </c>
      <c r="B15" s="11" t="s">
        <v>26</v>
      </c>
      <c r="C15" s="12">
        <v>3.0</v>
      </c>
      <c r="D15" s="12">
        <v>1.0</v>
      </c>
      <c r="E15" s="14"/>
      <c r="F15" s="24">
        <v>2.0</v>
      </c>
      <c r="G15" s="12">
        <v>1.0</v>
      </c>
      <c r="H15" s="14"/>
      <c r="I15" s="15"/>
      <c r="J15" s="13"/>
      <c r="K15" s="14"/>
      <c r="L15" s="24">
        <v>2.0</v>
      </c>
      <c r="M15" s="13"/>
      <c r="N15" s="14"/>
      <c r="O15" s="24">
        <v>1.0</v>
      </c>
      <c r="P15" s="13"/>
      <c r="Q15" s="16"/>
      <c r="R15" s="24">
        <v>1.0</v>
      </c>
      <c r="S15" s="13"/>
      <c r="T15" s="16"/>
      <c r="U15" s="24">
        <v>1.0</v>
      </c>
      <c r="V15" s="13"/>
      <c r="W15" s="16"/>
      <c r="X15" s="15"/>
      <c r="Y15" s="13"/>
      <c r="Z15" s="16"/>
      <c r="AA15" s="15"/>
      <c r="AB15" s="13"/>
      <c r="AC15" s="16"/>
      <c r="AD15" s="15"/>
      <c r="AE15" s="13"/>
      <c r="AF15" s="13"/>
      <c r="AG15" s="13"/>
      <c r="AH15" s="13"/>
      <c r="AI15" s="13"/>
      <c r="AJ15" s="13"/>
      <c r="AK15" s="13"/>
      <c r="AL15" s="13"/>
      <c r="AM15" s="17">
        <f t="shared" ref="AM15:AO15" si="23">C15+F15+I15+L15+O15+R15+U15+X15+AA15+AD15+AG15+AJ15</f>
        <v>10</v>
      </c>
      <c r="AN15" s="17">
        <f t="shared" si="23"/>
        <v>2</v>
      </c>
      <c r="AO15" s="17">
        <f t="shared" si="23"/>
        <v>0</v>
      </c>
      <c r="AP15" s="18">
        <f t="shared" ref="AP15:AQ15" si="24">IF(AM15=0,0,AN15/AM15)</f>
        <v>0.2</v>
      </c>
      <c r="AQ15" s="18">
        <f t="shared" si="24"/>
        <v>0</v>
      </c>
    </row>
    <row r="16">
      <c r="A16" s="10">
        <v>46035.0</v>
      </c>
      <c r="B16" s="11" t="s">
        <v>27</v>
      </c>
      <c r="C16" s="13"/>
      <c r="D16" s="12">
        <v>1.0</v>
      </c>
      <c r="E16" s="14"/>
      <c r="F16" s="24">
        <v>1.0</v>
      </c>
      <c r="G16" s="13"/>
      <c r="H16" s="14"/>
      <c r="I16" s="15"/>
      <c r="J16" s="13"/>
      <c r="K16" s="14"/>
      <c r="L16" s="24">
        <v>2.0</v>
      </c>
      <c r="M16" s="12">
        <v>2.0</v>
      </c>
      <c r="N16" s="14"/>
      <c r="O16" s="15"/>
      <c r="P16" s="13"/>
      <c r="Q16" s="16"/>
      <c r="R16" s="24">
        <v>3.0</v>
      </c>
      <c r="S16" s="12">
        <v>2.0</v>
      </c>
      <c r="T16" s="16"/>
      <c r="U16" s="15"/>
      <c r="V16" s="12">
        <v>1.0</v>
      </c>
      <c r="W16" s="16"/>
      <c r="X16" s="15"/>
      <c r="Y16" s="13"/>
      <c r="Z16" s="16"/>
      <c r="AA16" s="15"/>
      <c r="AB16" s="13"/>
      <c r="AC16" s="16"/>
      <c r="AD16" s="15"/>
      <c r="AE16" s="13"/>
      <c r="AF16" s="13"/>
      <c r="AG16" s="13"/>
      <c r="AH16" s="13"/>
      <c r="AI16" s="13"/>
      <c r="AJ16" s="13"/>
      <c r="AK16" s="13"/>
      <c r="AL16" s="13"/>
      <c r="AM16" s="17">
        <f t="shared" ref="AM16:AO16" si="25">C16+F16+I16+L16+O16+R16+U16+X16+AA16+AD16+AG16+AJ16</f>
        <v>6</v>
      </c>
      <c r="AN16" s="17">
        <f t="shared" si="25"/>
        <v>6</v>
      </c>
      <c r="AO16" s="17">
        <f t="shared" si="25"/>
        <v>0</v>
      </c>
      <c r="AP16" s="18">
        <f t="shared" ref="AP16:AQ16" si="26">IF(AM16=0,0,AN16/AM16)</f>
        <v>1</v>
      </c>
      <c r="AQ16" s="18">
        <f t="shared" si="26"/>
        <v>0</v>
      </c>
    </row>
    <row r="17">
      <c r="A17" s="10">
        <v>46036.0</v>
      </c>
      <c r="B17" s="11" t="s">
        <v>28</v>
      </c>
      <c r="C17" s="13"/>
      <c r="D17" s="13"/>
      <c r="E17" s="14"/>
      <c r="F17" s="15"/>
      <c r="G17" s="12">
        <v>2.0</v>
      </c>
      <c r="H17" s="14"/>
      <c r="I17" s="15"/>
      <c r="J17" s="13"/>
      <c r="K17" s="14"/>
      <c r="L17" s="24">
        <v>2.0</v>
      </c>
      <c r="M17" s="12">
        <v>1.0</v>
      </c>
      <c r="N17" s="14"/>
      <c r="O17" s="24"/>
      <c r="P17" s="13"/>
      <c r="Q17" s="16"/>
      <c r="R17" s="15"/>
      <c r="S17" s="13"/>
      <c r="T17" s="16"/>
      <c r="U17" s="24">
        <v>2.0</v>
      </c>
      <c r="V17" s="13"/>
      <c r="W17" s="16"/>
      <c r="X17" s="15"/>
      <c r="Y17" s="13"/>
      <c r="Z17" s="16"/>
      <c r="AA17" s="15"/>
      <c r="AB17" s="13"/>
      <c r="AC17" s="16"/>
      <c r="AD17" s="15"/>
      <c r="AE17" s="13"/>
      <c r="AF17" s="13"/>
      <c r="AG17" s="13"/>
      <c r="AH17" s="13"/>
      <c r="AI17" s="13"/>
      <c r="AJ17" s="13"/>
      <c r="AK17" s="13"/>
      <c r="AL17" s="13"/>
      <c r="AM17" s="17">
        <f t="shared" ref="AM17:AO17" si="27">C17+F17+I17+L17+O17+R17+U17+X17+AA17+AD17+AG17+AJ17</f>
        <v>4</v>
      </c>
      <c r="AN17" s="17">
        <f t="shared" si="27"/>
        <v>3</v>
      </c>
      <c r="AO17" s="17">
        <f t="shared" si="27"/>
        <v>0</v>
      </c>
      <c r="AP17" s="18">
        <f t="shared" ref="AP17:AQ17" si="28">IF(AM17=0,0,AN17/AM17)</f>
        <v>0.75</v>
      </c>
      <c r="AQ17" s="18">
        <f t="shared" si="28"/>
        <v>0</v>
      </c>
    </row>
    <row r="18">
      <c r="A18" s="10">
        <v>46037.0</v>
      </c>
      <c r="B18" s="11" t="s">
        <v>22</v>
      </c>
      <c r="C18" s="13"/>
      <c r="D18" s="12">
        <v>2.0</v>
      </c>
      <c r="E18" s="14"/>
      <c r="F18" s="24">
        <v>1.0</v>
      </c>
      <c r="G18" s="13"/>
      <c r="H18" s="14"/>
      <c r="I18" s="15"/>
      <c r="J18" s="13"/>
      <c r="K18" s="14"/>
      <c r="L18" s="24">
        <v>2.0</v>
      </c>
      <c r="M18" s="13"/>
      <c r="N18" s="14"/>
      <c r="O18" s="24">
        <v>1.0</v>
      </c>
      <c r="P18" s="12">
        <v>1.0</v>
      </c>
      <c r="Q18" s="16"/>
      <c r="R18" s="24">
        <v>1.0</v>
      </c>
      <c r="S18" s="13"/>
      <c r="T18" s="16"/>
      <c r="U18" s="24">
        <v>2.0</v>
      </c>
      <c r="V18" s="13"/>
      <c r="W18" s="16"/>
      <c r="X18" s="15"/>
      <c r="Y18" s="13"/>
      <c r="Z18" s="16"/>
      <c r="AA18" s="15"/>
      <c r="AB18" s="13"/>
      <c r="AC18" s="16"/>
      <c r="AD18" s="15"/>
      <c r="AE18" s="13"/>
      <c r="AF18" s="13"/>
      <c r="AG18" s="13"/>
      <c r="AH18" s="13"/>
      <c r="AI18" s="13"/>
      <c r="AJ18" s="13"/>
      <c r="AK18" s="13"/>
      <c r="AL18" s="13"/>
      <c r="AM18" s="17">
        <f t="shared" ref="AM18:AO18" si="29">C18+F18+I18+L18+O18+R18+U18+X18+AA18+AD18+AG18+AJ18</f>
        <v>7</v>
      </c>
      <c r="AN18" s="17">
        <f t="shared" si="29"/>
        <v>3</v>
      </c>
      <c r="AO18" s="17">
        <f t="shared" si="29"/>
        <v>0</v>
      </c>
      <c r="AP18" s="18">
        <f t="shared" ref="AP18:AQ18" si="30">IF(AM18=0,0,AN18/AM18)</f>
        <v>0.4285714286</v>
      </c>
      <c r="AQ18" s="18">
        <f t="shared" si="30"/>
        <v>0</v>
      </c>
    </row>
    <row r="19">
      <c r="A19" s="10">
        <v>46038.0</v>
      </c>
      <c r="B19" s="11" t="s">
        <v>23</v>
      </c>
      <c r="C19" s="12">
        <v>3.0</v>
      </c>
      <c r="D19" s="13"/>
      <c r="E19" s="14"/>
      <c r="F19" s="24">
        <v>1.0</v>
      </c>
      <c r="G19" s="13"/>
      <c r="H19" s="14"/>
      <c r="I19" s="15"/>
      <c r="J19" s="13"/>
      <c r="K19" s="14"/>
      <c r="L19" s="15"/>
      <c r="M19" s="12">
        <v>1.0</v>
      </c>
      <c r="N19" s="14"/>
      <c r="O19" s="24"/>
      <c r="P19" s="13"/>
      <c r="Q19" s="16"/>
      <c r="R19" s="24">
        <v>2.0</v>
      </c>
      <c r="S19" s="12">
        <v>1.0</v>
      </c>
      <c r="T19" s="16"/>
      <c r="U19" s="15"/>
      <c r="V19" s="12">
        <v>1.0</v>
      </c>
      <c r="W19" s="16"/>
      <c r="X19" s="15"/>
      <c r="Y19" s="13"/>
      <c r="Z19" s="16"/>
      <c r="AA19" s="15"/>
      <c r="AB19" s="13"/>
      <c r="AC19" s="16"/>
      <c r="AD19" s="15"/>
      <c r="AE19" s="13"/>
      <c r="AF19" s="13"/>
      <c r="AG19" s="13"/>
      <c r="AH19" s="13"/>
      <c r="AI19" s="13"/>
      <c r="AJ19" s="13"/>
      <c r="AK19" s="13"/>
      <c r="AL19" s="13"/>
      <c r="AM19" s="17">
        <f t="shared" ref="AM19:AO19" si="31">C19+F19+I19+L19+O19+R19+U19+X19+AA19+AD19+AG19+AJ19</f>
        <v>6</v>
      </c>
      <c r="AN19" s="17">
        <f t="shared" si="31"/>
        <v>3</v>
      </c>
      <c r="AO19" s="17">
        <f t="shared" si="31"/>
        <v>0</v>
      </c>
      <c r="AP19" s="18">
        <f t="shared" ref="AP19:AQ19" si="32">IF(AM19=0,0,AN19/AM19)</f>
        <v>0.5</v>
      </c>
      <c r="AQ19" s="18">
        <f t="shared" si="32"/>
        <v>0</v>
      </c>
    </row>
    <row r="20">
      <c r="A20" s="10">
        <v>46039.0</v>
      </c>
      <c r="B20" s="11" t="s">
        <v>24</v>
      </c>
      <c r="C20" s="19"/>
      <c r="D20" s="19"/>
      <c r="E20" s="21"/>
      <c r="F20" s="22"/>
      <c r="G20" s="19"/>
      <c r="H20" s="21"/>
      <c r="I20" s="22"/>
      <c r="J20" s="19"/>
      <c r="K20" s="21"/>
      <c r="L20" s="22"/>
      <c r="M20" s="19"/>
      <c r="N20" s="21"/>
      <c r="O20" s="25"/>
      <c r="P20" s="19"/>
      <c r="Q20" s="23"/>
      <c r="R20" s="22"/>
      <c r="S20" s="19"/>
      <c r="T20" s="23"/>
      <c r="U20" s="22"/>
      <c r="V20" s="19"/>
      <c r="W20" s="23"/>
      <c r="X20" s="22"/>
      <c r="Y20" s="19"/>
      <c r="Z20" s="23"/>
      <c r="AA20" s="22"/>
      <c r="AB20" s="19"/>
      <c r="AC20" s="23"/>
      <c r="AD20" s="22"/>
      <c r="AE20" s="19"/>
      <c r="AF20" s="19"/>
      <c r="AG20" s="19"/>
      <c r="AH20" s="19"/>
      <c r="AI20" s="19"/>
      <c r="AJ20" s="19"/>
      <c r="AK20" s="19"/>
      <c r="AL20" s="19"/>
      <c r="AM20" s="17">
        <f t="shared" ref="AM20:AO20" si="33">C20+F20+I20+L20+O20+R20+U20+X20+AA20+AD20+AG20+AJ20</f>
        <v>0</v>
      </c>
      <c r="AN20" s="17">
        <f t="shared" si="33"/>
        <v>0</v>
      </c>
      <c r="AO20" s="17">
        <f t="shared" si="33"/>
        <v>0</v>
      </c>
      <c r="AP20" s="18">
        <f t="shared" ref="AP20:AQ20" si="34">IF(AM20=0,0,AN20/AM20)</f>
        <v>0</v>
      </c>
      <c r="AQ20" s="18">
        <f t="shared" si="34"/>
        <v>0</v>
      </c>
    </row>
    <row r="21" ht="15.75" customHeight="1">
      <c r="A21" s="10">
        <v>46040.0</v>
      </c>
      <c r="B21" s="11" t="s">
        <v>25</v>
      </c>
      <c r="C21" s="19"/>
      <c r="D21" s="19"/>
      <c r="E21" s="21"/>
      <c r="F21" s="22"/>
      <c r="G21" s="19"/>
      <c r="H21" s="21"/>
      <c r="I21" s="22"/>
      <c r="J21" s="19"/>
      <c r="K21" s="21"/>
      <c r="L21" s="22"/>
      <c r="M21" s="19"/>
      <c r="N21" s="21"/>
      <c r="O21" s="25"/>
      <c r="P21" s="19"/>
      <c r="Q21" s="23"/>
      <c r="R21" s="22"/>
      <c r="S21" s="19"/>
      <c r="T21" s="23"/>
      <c r="U21" s="22"/>
      <c r="V21" s="19"/>
      <c r="W21" s="23"/>
      <c r="X21" s="22"/>
      <c r="Y21" s="19"/>
      <c r="Z21" s="23"/>
      <c r="AA21" s="22"/>
      <c r="AB21" s="19"/>
      <c r="AC21" s="23"/>
      <c r="AD21" s="22"/>
      <c r="AE21" s="19"/>
      <c r="AF21" s="19"/>
      <c r="AG21" s="19"/>
      <c r="AH21" s="19"/>
      <c r="AI21" s="19"/>
      <c r="AJ21" s="19"/>
      <c r="AK21" s="19"/>
      <c r="AL21" s="19"/>
      <c r="AM21" s="17">
        <f t="shared" ref="AM21:AO21" si="35">C21+F21+I21+L21+O21+R21+U21+X21+AA21+AD21+AG21+AJ21</f>
        <v>0</v>
      </c>
      <c r="AN21" s="17">
        <f t="shared" si="35"/>
        <v>0</v>
      </c>
      <c r="AO21" s="17">
        <f t="shared" si="35"/>
        <v>0</v>
      </c>
      <c r="AP21" s="18">
        <f t="shared" ref="AP21:AQ21" si="36">IF(AM21=0,0,AN21/AM21)</f>
        <v>0</v>
      </c>
      <c r="AQ21" s="18">
        <f t="shared" si="36"/>
        <v>0</v>
      </c>
    </row>
    <row r="22" ht="15.75" customHeight="1">
      <c r="A22" s="10">
        <v>46041.0</v>
      </c>
      <c r="B22" s="11" t="s">
        <v>26</v>
      </c>
      <c r="C22" s="13"/>
      <c r="D22" s="13"/>
      <c r="E22" s="14"/>
      <c r="F22" s="15"/>
      <c r="G22" s="13"/>
      <c r="H22" s="14"/>
      <c r="I22" s="15"/>
      <c r="J22" s="13"/>
      <c r="K22" s="14"/>
      <c r="L22" s="15"/>
      <c r="M22" s="13"/>
      <c r="N22" s="14"/>
      <c r="O22" s="15"/>
      <c r="P22" s="13"/>
      <c r="Q22" s="16"/>
      <c r="R22" s="15"/>
      <c r="S22" s="13"/>
      <c r="T22" s="16"/>
      <c r="U22" s="15"/>
      <c r="V22" s="13"/>
      <c r="W22" s="16"/>
      <c r="X22" s="15"/>
      <c r="Y22" s="13"/>
      <c r="Z22" s="16"/>
      <c r="AA22" s="15"/>
      <c r="AB22" s="13"/>
      <c r="AC22" s="16"/>
      <c r="AD22" s="15"/>
      <c r="AE22" s="13"/>
      <c r="AF22" s="13"/>
      <c r="AG22" s="13"/>
      <c r="AH22" s="13"/>
      <c r="AI22" s="13"/>
      <c r="AJ22" s="13"/>
      <c r="AK22" s="13"/>
      <c r="AL22" s="13"/>
      <c r="AM22" s="17">
        <f t="shared" ref="AM22:AO22" si="37">C22+F22+I22+L22+O22+R22+U22+X22+AA22+AD22+AG22+AJ22</f>
        <v>0</v>
      </c>
      <c r="AN22" s="17">
        <f t="shared" si="37"/>
        <v>0</v>
      </c>
      <c r="AO22" s="17">
        <f t="shared" si="37"/>
        <v>0</v>
      </c>
      <c r="AP22" s="18">
        <f t="shared" ref="AP22:AQ22" si="38">IF(AM22=0,0,AN22/AM22)</f>
        <v>0</v>
      </c>
      <c r="AQ22" s="18">
        <f t="shared" si="38"/>
        <v>0</v>
      </c>
    </row>
    <row r="23" ht="15.75" customHeight="1">
      <c r="A23" s="10">
        <v>46042.0</v>
      </c>
      <c r="B23" s="11" t="s">
        <v>27</v>
      </c>
      <c r="C23" s="13"/>
      <c r="D23" s="13"/>
      <c r="E23" s="14"/>
      <c r="F23" s="15"/>
      <c r="G23" s="13"/>
      <c r="H23" s="14"/>
      <c r="I23" s="15"/>
      <c r="J23" s="13"/>
      <c r="K23" s="14"/>
      <c r="L23" s="15"/>
      <c r="M23" s="13"/>
      <c r="N23" s="14"/>
      <c r="O23" s="24">
        <v>3.0</v>
      </c>
      <c r="P23" s="13"/>
      <c r="Q23" s="16"/>
      <c r="R23" s="24">
        <v>1.0</v>
      </c>
      <c r="S23" s="12">
        <v>1.0</v>
      </c>
      <c r="T23" s="16"/>
      <c r="U23" s="15"/>
      <c r="V23" s="12">
        <v>1.0</v>
      </c>
      <c r="W23" s="16"/>
      <c r="X23" s="15"/>
      <c r="Y23" s="13"/>
      <c r="Z23" s="16"/>
      <c r="AA23" s="15"/>
      <c r="AB23" s="13"/>
      <c r="AC23" s="16"/>
      <c r="AD23" s="15"/>
      <c r="AE23" s="13"/>
      <c r="AF23" s="13"/>
      <c r="AG23" s="13"/>
      <c r="AH23" s="13"/>
      <c r="AI23" s="13"/>
      <c r="AJ23" s="13"/>
      <c r="AK23" s="13"/>
      <c r="AL23" s="13"/>
      <c r="AM23" s="17">
        <f t="shared" ref="AM23:AO23" si="39">C23+F23+I23+L23+O23+R23+U23+X23+AA23+AD23+AG23+AJ23</f>
        <v>4</v>
      </c>
      <c r="AN23" s="17">
        <f t="shared" si="39"/>
        <v>2</v>
      </c>
      <c r="AO23" s="17">
        <f t="shared" si="39"/>
        <v>0</v>
      </c>
      <c r="AP23" s="18">
        <f t="shared" ref="AP23:AQ23" si="40">IF(AM23=0,0,AN23/AM23)</f>
        <v>0.5</v>
      </c>
      <c r="AQ23" s="18">
        <f t="shared" si="40"/>
        <v>0</v>
      </c>
    </row>
    <row r="24" ht="15.75" customHeight="1">
      <c r="A24" s="10">
        <v>46043.0</v>
      </c>
      <c r="B24" s="11" t="s">
        <v>28</v>
      </c>
      <c r="C24" s="12">
        <v>1.0</v>
      </c>
      <c r="D24" s="12">
        <v>1.0</v>
      </c>
      <c r="E24" s="14"/>
      <c r="F24" s="15"/>
      <c r="G24" s="12">
        <v>1.0</v>
      </c>
      <c r="H24" s="14"/>
      <c r="I24" s="15"/>
      <c r="J24" s="13"/>
      <c r="K24" s="14"/>
      <c r="L24" s="15"/>
      <c r="M24" s="13"/>
      <c r="N24" s="14"/>
      <c r="O24" s="15"/>
      <c r="P24" s="13"/>
      <c r="Q24" s="16"/>
      <c r="R24" s="24">
        <v>1.0</v>
      </c>
      <c r="S24" s="12">
        <v>1.0</v>
      </c>
      <c r="T24" s="16"/>
      <c r="U24" s="15"/>
      <c r="V24" s="13"/>
      <c r="W24" s="16"/>
      <c r="X24" s="15"/>
      <c r="Y24" s="13"/>
      <c r="Z24" s="16"/>
      <c r="AA24" s="24">
        <v>1.0</v>
      </c>
      <c r="AB24" s="13"/>
      <c r="AC24" s="16"/>
      <c r="AD24" s="15"/>
      <c r="AE24" s="13"/>
      <c r="AF24" s="13"/>
      <c r="AG24" s="13"/>
      <c r="AH24" s="13"/>
      <c r="AI24" s="13"/>
      <c r="AJ24" s="13"/>
      <c r="AK24" s="13"/>
      <c r="AL24" s="13"/>
      <c r="AM24" s="17">
        <f t="shared" ref="AM24:AO24" si="41">C24+F24+I24+L24+O24+R24+U24+X24+AA24+AD24+AG24+AJ24</f>
        <v>3</v>
      </c>
      <c r="AN24" s="17">
        <f t="shared" si="41"/>
        <v>3</v>
      </c>
      <c r="AO24" s="17">
        <f t="shared" si="41"/>
        <v>0</v>
      </c>
      <c r="AP24" s="18">
        <f t="shared" ref="AP24:AQ24" si="42">IF(AM24=0,0,AN24/AM24)</f>
        <v>1</v>
      </c>
      <c r="AQ24" s="18">
        <f t="shared" si="42"/>
        <v>0</v>
      </c>
    </row>
    <row r="25" ht="15.75" customHeight="1">
      <c r="A25" s="10">
        <v>46044.0</v>
      </c>
      <c r="B25" s="11" t="s">
        <v>22</v>
      </c>
      <c r="C25" s="13"/>
      <c r="D25" s="13"/>
      <c r="E25" s="14"/>
      <c r="F25" s="15"/>
      <c r="G25" s="12">
        <v>1.0</v>
      </c>
      <c r="H25" s="14"/>
      <c r="I25" s="15"/>
      <c r="J25" s="13"/>
      <c r="K25" s="14"/>
      <c r="L25" s="24">
        <v>2.0</v>
      </c>
      <c r="M25" s="13"/>
      <c r="N25" s="14"/>
      <c r="O25" s="15"/>
      <c r="P25" s="13"/>
      <c r="Q25" s="16"/>
      <c r="R25" s="24">
        <v>1.0</v>
      </c>
      <c r="S25" s="13"/>
      <c r="T25" s="16"/>
      <c r="U25" s="15"/>
      <c r="V25" s="12">
        <v>1.0</v>
      </c>
      <c r="W25" s="16"/>
      <c r="X25" s="24">
        <v>2.0</v>
      </c>
      <c r="Y25" s="13"/>
      <c r="Z25" s="16"/>
      <c r="AA25" s="15"/>
      <c r="AB25" s="13"/>
      <c r="AC25" s="16"/>
      <c r="AD25" s="15"/>
      <c r="AE25" s="13"/>
      <c r="AF25" s="13"/>
      <c r="AG25" s="13"/>
      <c r="AH25" s="13"/>
      <c r="AI25" s="13"/>
      <c r="AJ25" s="13"/>
      <c r="AK25" s="13"/>
      <c r="AL25" s="13"/>
      <c r="AM25" s="17">
        <f t="shared" ref="AM25:AO25" si="43">C25+F25+I25+L25+O25+R25+U25+X25+AA25+AD25+AG25+AJ25</f>
        <v>5</v>
      </c>
      <c r="AN25" s="17">
        <f t="shared" si="43"/>
        <v>2</v>
      </c>
      <c r="AO25" s="17">
        <f t="shared" si="43"/>
        <v>0</v>
      </c>
      <c r="AP25" s="18">
        <f t="shared" ref="AP25:AQ25" si="44">IF(AM25=0,0,AN25/AM25)</f>
        <v>0.4</v>
      </c>
      <c r="AQ25" s="18">
        <f t="shared" si="44"/>
        <v>0</v>
      </c>
    </row>
    <row r="26" ht="15.75" customHeight="1">
      <c r="A26" s="10">
        <v>46045.0</v>
      </c>
      <c r="B26" s="11" t="s">
        <v>23</v>
      </c>
      <c r="C26" s="12">
        <v>1.0</v>
      </c>
      <c r="D26" s="13"/>
      <c r="E26" s="14"/>
      <c r="F26" s="15"/>
      <c r="G26" s="13"/>
      <c r="H26" s="14"/>
      <c r="I26" s="15"/>
      <c r="J26" s="13"/>
      <c r="K26" s="14"/>
      <c r="L26" s="15"/>
      <c r="M26" s="12">
        <v>1.0</v>
      </c>
      <c r="N26" s="14"/>
      <c r="O26" s="24">
        <v>1.0</v>
      </c>
      <c r="P26" s="12">
        <v>1.0</v>
      </c>
      <c r="Q26" s="16"/>
      <c r="R26" s="24">
        <v>1.0</v>
      </c>
      <c r="S26" s="12">
        <v>2.0</v>
      </c>
      <c r="T26" s="16"/>
      <c r="U26" s="24">
        <v>1.0</v>
      </c>
      <c r="V26" s="13"/>
      <c r="W26" s="16"/>
      <c r="X26" s="15"/>
      <c r="Y26" s="12">
        <v>1.0</v>
      </c>
      <c r="Z26" s="16"/>
      <c r="AA26" s="24">
        <v>1.0</v>
      </c>
      <c r="AB26" s="13"/>
      <c r="AC26" s="16"/>
      <c r="AD26" s="15"/>
      <c r="AE26" s="13"/>
      <c r="AF26" s="13"/>
      <c r="AG26" s="13"/>
      <c r="AH26" s="13"/>
      <c r="AI26" s="13"/>
      <c r="AJ26" s="13"/>
      <c r="AK26" s="13"/>
      <c r="AL26" s="13"/>
      <c r="AM26" s="17">
        <f t="shared" ref="AM26:AO26" si="45">C26+F26+I26+L26+O26+R26+U26+X26+AA26+AD26+AG26+AJ26</f>
        <v>5</v>
      </c>
      <c r="AN26" s="17">
        <f t="shared" si="45"/>
        <v>5</v>
      </c>
      <c r="AO26" s="17">
        <f t="shared" si="45"/>
        <v>0</v>
      </c>
      <c r="AP26" s="18">
        <f t="shared" ref="AP26:AQ26" si="46">IF(AM26=0,0,AN26/AM26)</f>
        <v>1</v>
      </c>
      <c r="AQ26" s="18">
        <f t="shared" si="46"/>
        <v>0</v>
      </c>
    </row>
    <row r="27" ht="15.75" customHeight="1">
      <c r="A27" s="10">
        <v>46046.0</v>
      </c>
      <c r="B27" s="11" t="s">
        <v>24</v>
      </c>
      <c r="C27" s="19"/>
      <c r="D27" s="19"/>
      <c r="E27" s="21"/>
      <c r="F27" s="22"/>
      <c r="G27" s="19"/>
      <c r="H27" s="21"/>
      <c r="I27" s="22"/>
      <c r="J27" s="19"/>
      <c r="K27" s="21"/>
      <c r="L27" s="22"/>
      <c r="M27" s="19"/>
      <c r="N27" s="21"/>
      <c r="O27" s="22"/>
      <c r="P27" s="19"/>
      <c r="Q27" s="23"/>
      <c r="R27" s="22"/>
      <c r="S27" s="19"/>
      <c r="T27" s="23"/>
      <c r="U27" s="22"/>
      <c r="V27" s="19"/>
      <c r="W27" s="23"/>
      <c r="X27" s="22"/>
      <c r="Y27" s="19"/>
      <c r="Z27" s="23"/>
      <c r="AA27" s="22"/>
      <c r="AB27" s="19"/>
      <c r="AC27" s="23"/>
      <c r="AD27" s="22"/>
      <c r="AE27" s="19"/>
      <c r="AF27" s="19"/>
      <c r="AG27" s="19"/>
      <c r="AH27" s="19"/>
      <c r="AI27" s="19"/>
      <c r="AJ27" s="19"/>
      <c r="AK27" s="19"/>
      <c r="AL27" s="19"/>
      <c r="AM27" s="17">
        <f t="shared" ref="AM27:AO27" si="47">C27+F27+I27+L27+O27+R27+U27+X27+AA27+AD27+AG27+AJ27</f>
        <v>0</v>
      </c>
      <c r="AN27" s="17">
        <f t="shared" si="47"/>
        <v>0</v>
      </c>
      <c r="AO27" s="17">
        <f t="shared" si="47"/>
        <v>0</v>
      </c>
      <c r="AP27" s="18">
        <f t="shared" ref="AP27:AQ27" si="48">IF(AM27=0,0,AN27/AM27)</f>
        <v>0</v>
      </c>
      <c r="AQ27" s="18">
        <f t="shared" si="48"/>
        <v>0</v>
      </c>
    </row>
    <row r="28" ht="15.75" customHeight="1">
      <c r="A28" s="10">
        <v>46047.0</v>
      </c>
      <c r="B28" s="11" t="s">
        <v>25</v>
      </c>
      <c r="C28" s="19"/>
      <c r="D28" s="19"/>
      <c r="E28" s="21"/>
      <c r="F28" s="22"/>
      <c r="G28" s="19"/>
      <c r="H28" s="21"/>
      <c r="I28" s="22"/>
      <c r="J28" s="19"/>
      <c r="K28" s="21"/>
      <c r="L28" s="22"/>
      <c r="M28" s="19"/>
      <c r="N28" s="21"/>
      <c r="O28" s="22"/>
      <c r="P28" s="19"/>
      <c r="Q28" s="23"/>
      <c r="R28" s="22"/>
      <c r="S28" s="19"/>
      <c r="T28" s="23"/>
      <c r="U28" s="22"/>
      <c r="V28" s="19"/>
      <c r="W28" s="23"/>
      <c r="X28" s="22"/>
      <c r="Y28" s="19"/>
      <c r="Z28" s="23"/>
      <c r="AA28" s="22"/>
      <c r="AB28" s="19"/>
      <c r="AC28" s="23"/>
      <c r="AD28" s="22"/>
      <c r="AE28" s="19"/>
      <c r="AF28" s="19"/>
      <c r="AG28" s="19"/>
      <c r="AH28" s="19"/>
      <c r="AI28" s="19"/>
      <c r="AJ28" s="19"/>
      <c r="AK28" s="19"/>
      <c r="AL28" s="19"/>
      <c r="AM28" s="17">
        <f t="shared" ref="AM28:AO28" si="49">C28+F28+I28+L28+O28+R28+U28+X28+AA28+AD28+AG28+AJ28</f>
        <v>0</v>
      </c>
      <c r="AN28" s="17">
        <f t="shared" si="49"/>
        <v>0</v>
      </c>
      <c r="AO28" s="17">
        <f t="shared" si="49"/>
        <v>0</v>
      </c>
      <c r="AP28" s="18">
        <f t="shared" ref="AP28:AQ28" si="50">IF(AM28=0,0,AN28/AM28)</f>
        <v>0</v>
      </c>
      <c r="AQ28" s="18">
        <f t="shared" si="50"/>
        <v>0</v>
      </c>
    </row>
    <row r="29" ht="15.75" customHeight="1">
      <c r="A29" s="10">
        <v>46048.0</v>
      </c>
      <c r="B29" s="11" t="s">
        <v>26</v>
      </c>
      <c r="C29" s="13"/>
      <c r="D29" s="13"/>
      <c r="E29" s="14"/>
      <c r="F29" s="15"/>
      <c r="G29" s="13"/>
      <c r="H29" s="14"/>
      <c r="I29" s="15"/>
      <c r="J29" s="13"/>
      <c r="K29" s="14"/>
      <c r="L29" s="24">
        <v>2.0</v>
      </c>
      <c r="M29" s="12">
        <v>1.0</v>
      </c>
      <c r="N29" s="14"/>
      <c r="O29" s="15"/>
      <c r="P29" s="13"/>
      <c r="Q29" s="16"/>
      <c r="R29" s="15"/>
      <c r="S29" s="12">
        <v>1.0</v>
      </c>
      <c r="T29" s="16"/>
      <c r="U29" s="15"/>
      <c r="V29" s="13"/>
      <c r="W29" s="16"/>
      <c r="X29" s="15"/>
      <c r="Y29" s="13"/>
      <c r="Z29" s="16"/>
      <c r="AA29" s="15"/>
      <c r="AB29" s="13"/>
      <c r="AC29" s="16"/>
      <c r="AD29" s="15"/>
      <c r="AE29" s="13"/>
      <c r="AF29" s="13"/>
      <c r="AG29" s="13"/>
      <c r="AH29" s="13"/>
      <c r="AI29" s="13"/>
      <c r="AJ29" s="13"/>
      <c r="AK29" s="13"/>
      <c r="AL29" s="13"/>
      <c r="AM29" s="17">
        <f t="shared" ref="AM29:AO29" si="51">C29+F29+I29+L29+O29+R29+U29+X29+AA29+AD29+AG29+AJ29</f>
        <v>2</v>
      </c>
      <c r="AN29" s="17">
        <f t="shared" si="51"/>
        <v>2</v>
      </c>
      <c r="AO29" s="17">
        <f t="shared" si="51"/>
        <v>0</v>
      </c>
      <c r="AP29" s="18">
        <f t="shared" ref="AP29:AQ29" si="52">IF(AM29=0,0,AN29/AM29)</f>
        <v>1</v>
      </c>
      <c r="AQ29" s="18">
        <f t="shared" si="52"/>
        <v>0</v>
      </c>
    </row>
    <row r="30" ht="15.75" customHeight="1">
      <c r="A30" s="10">
        <v>46049.0</v>
      </c>
      <c r="B30" s="11" t="s">
        <v>27</v>
      </c>
      <c r="C30" s="13"/>
      <c r="D30" s="13"/>
      <c r="E30" s="14"/>
      <c r="F30" s="15"/>
      <c r="G30" s="13"/>
      <c r="H30" s="14"/>
      <c r="I30" s="15"/>
      <c r="J30" s="13"/>
      <c r="K30" s="14"/>
      <c r="L30" s="15"/>
      <c r="M30" s="13"/>
      <c r="N30" s="14"/>
      <c r="O30" s="15"/>
      <c r="P30" s="13"/>
      <c r="Q30" s="16"/>
      <c r="R30" s="24">
        <v>1.0</v>
      </c>
      <c r="S30" s="13"/>
      <c r="T30" s="16"/>
      <c r="U30" s="24">
        <v>1.0</v>
      </c>
      <c r="V30" s="13"/>
      <c r="W30" s="16"/>
      <c r="X30" s="24">
        <v>1.0</v>
      </c>
      <c r="Y30" s="13"/>
      <c r="Z30" s="16"/>
      <c r="AA30" s="15"/>
      <c r="AB30" s="13"/>
      <c r="AC30" s="16"/>
      <c r="AD30" s="15"/>
      <c r="AE30" s="13"/>
      <c r="AF30" s="13"/>
      <c r="AG30" s="13"/>
      <c r="AH30" s="13"/>
      <c r="AI30" s="13"/>
      <c r="AJ30" s="13"/>
      <c r="AK30" s="13"/>
      <c r="AL30" s="13"/>
      <c r="AM30" s="17">
        <f t="shared" ref="AM30:AO30" si="53">C30+F30+I30+L30+O30+R30+U30+X30+AA30+AD30+AG30+AJ30</f>
        <v>3</v>
      </c>
      <c r="AN30" s="17">
        <f t="shared" si="53"/>
        <v>0</v>
      </c>
      <c r="AO30" s="17">
        <f t="shared" si="53"/>
        <v>0</v>
      </c>
      <c r="AP30" s="18">
        <f t="shared" ref="AP30:AQ30" si="54">IF(AM30=0,0,AN30/AM30)</f>
        <v>0</v>
      </c>
      <c r="AQ30" s="18">
        <f t="shared" si="54"/>
        <v>0</v>
      </c>
    </row>
    <row r="31" ht="15.75" customHeight="1">
      <c r="A31" s="10">
        <v>46050.0</v>
      </c>
      <c r="B31" s="11" t="s">
        <v>28</v>
      </c>
      <c r="C31" s="13"/>
      <c r="D31" s="13"/>
      <c r="E31" s="14"/>
      <c r="F31" s="24">
        <v>1.0</v>
      </c>
      <c r="G31" s="13"/>
      <c r="H31" s="14"/>
      <c r="I31" s="15"/>
      <c r="J31" s="13"/>
      <c r="K31" s="14"/>
      <c r="L31" s="24">
        <v>1.0</v>
      </c>
      <c r="M31" s="12">
        <v>1.0</v>
      </c>
      <c r="N31" s="14"/>
      <c r="O31" s="15"/>
      <c r="P31" s="12">
        <v>1.0</v>
      </c>
      <c r="Q31" s="16"/>
      <c r="R31" s="24">
        <v>1.0</v>
      </c>
      <c r="S31" s="12">
        <v>1.0</v>
      </c>
      <c r="T31" s="16"/>
      <c r="U31" s="15"/>
      <c r="V31" s="13"/>
      <c r="W31" s="16"/>
      <c r="X31" s="24">
        <v>2.0</v>
      </c>
      <c r="Y31" s="13"/>
      <c r="Z31" s="16"/>
      <c r="AA31" s="15"/>
      <c r="AB31" s="13"/>
      <c r="AC31" s="16"/>
      <c r="AD31" s="15"/>
      <c r="AE31" s="13"/>
      <c r="AF31" s="13"/>
      <c r="AG31" s="13"/>
      <c r="AH31" s="13"/>
      <c r="AI31" s="13"/>
      <c r="AJ31" s="13"/>
      <c r="AK31" s="13"/>
      <c r="AL31" s="13"/>
      <c r="AM31" s="17">
        <f t="shared" ref="AM31:AO31" si="55">C31+F31+I31+L31+O31+R31+U31+X31+AA31+AD31+AG31+AJ31</f>
        <v>5</v>
      </c>
      <c r="AN31" s="17">
        <f t="shared" si="55"/>
        <v>3</v>
      </c>
      <c r="AO31" s="17">
        <f t="shared" si="55"/>
        <v>0</v>
      </c>
      <c r="AP31" s="18">
        <f t="shared" ref="AP31:AQ31" si="56">IF(AM31=0,0,AN31/AM31)</f>
        <v>0.6</v>
      </c>
      <c r="AQ31" s="18">
        <f t="shared" si="56"/>
        <v>0</v>
      </c>
    </row>
    <row r="32" ht="15.75" customHeight="1">
      <c r="A32" s="10">
        <v>46051.0</v>
      </c>
      <c r="B32" s="11" t="s">
        <v>22</v>
      </c>
      <c r="C32" s="13"/>
      <c r="D32" s="12">
        <v>1.0</v>
      </c>
      <c r="E32" s="14"/>
      <c r="F32" s="15"/>
      <c r="G32" s="13"/>
      <c r="H32" s="14"/>
      <c r="I32" s="15"/>
      <c r="J32" s="13"/>
      <c r="K32" s="14"/>
      <c r="L32" s="15"/>
      <c r="M32" s="13"/>
      <c r="N32" s="14"/>
      <c r="O32" s="15"/>
      <c r="P32" s="13"/>
      <c r="Q32" s="16"/>
      <c r="R32" s="15"/>
      <c r="S32" s="13"/>
      <c r="T32" s="16"/>
      <c r="U32" s="24">
        <v>1.0</v>
      </c>
      <c r="V32" s="12">
        <v>1.0</v>
      </c>
      <c r="W32" s="16"/>
      <c r="X32" s="15"/>
      <c r="Y32" s="13"/>
      <c r="Z32" s="16"/>
      <c r="AA32" s="15"/>
      <c r="AB32" s="12">
        <v>1.0</v>
      </c>
      <c r="AC32" s="16"/>
      <c r="AD32" s="15"/>
      <c r="AE32" s="13"/>
      <c r="AF32" s="13"/>
      <c r="AG32" s="13"/>
      <c r="AH32" s="13"/>
      <c r="AI32" s="13"/>
      <c r="AJ32" s="13"/>
      <c r="AK32" s="13"/>
      <c r="AL32" s="13"/>
      <c r="AM32" s="17">
        <f t="shared" ref="AM32:AO32" si="57">C32+F32+I32+L32+O32+R32+U32+X32+AA32+AD32+AG32+AJ32</f>
        <v>1</v>
      </c>
      <c r="AN32" s="17">
        <f t="shared" si="57"/>
        <v>3</v>
      </c>
      <c r="AO32" s="17">
        <f t="shared" si="57"/>
        <v>0</v>
      </c>
      <c r="AP32" s="18">
        <f t="shared" ref="AP32:AQ32" si="58">IF(AM32=0,0,AN32/AM32)</f>
        <v>3</v>
      </c>
      <c r="AQ32" s="18">
        <f t="shared" si="58"/>
        <v>0</v>
      </c>
    </row>
    <row r="33" ht="15.75" customHeight="1">
      <c r="A33" s="10">
        <v>46052.0</v>
      </c>
      <c r="B33" s="11" t="s">
        <v>23</v>
      </c>
      <c r="C33" s="13"/>
      <c r="D33" s="12">
        <v>1.0</v>
      </c>
      <c r="E33" s="14"/>
      <c r="F33" s="24">
        <v>1.0</v>
      </c>
      <c r="G33" s="13"/>
      <c r="H33" s="14"/>
      <c r="I33" s="15"/>
      <c r="J33" s="13"/>
      <c r="K33" s="14"/>
      <c r="L33" s="24">
        <v>1.0</v>
      </c>
      <c r="M33" s="12">
        <v>2.0</v>
      </c>
      <c r="N33" s="14"/>
      <c r="O33" s="24">
        <v>1.0</v>
      </c>
      <c r="P33" s="13"/>
      <c r="Q33" s="16"/>
      <c r="R33" s="24">
        <v>1.0</v>
      </c>
      <c r="S33" s="13"/>
      <c r="T33" s="16"/>
      <c r="U33" s="15"/>
      <c r="V33" s="13"/>
      <c r="W33" s="16"/>
      <c r="X33" s="15"/>
      <c r="Y33" s="12">
        <v>1.0</v>
      </c>
      <c r="Z33" s="16"/>
      <c r="AA33" s="15"/>
      <c r="AB33" s="12">
        <v>1.0</v>
      </c>
      <c r="AC33" s="16"/>
      <c r="AD33" s="15"/>
      <c r="AE33" s="13"/>
      <c r="AF33" s="13"/>
      <c r="AG33" s="13"/>
      <c r="AH33" s="13"/>
      <c r="AI33" s="13"/>
      <c r="AJ33" s="13"/>
      <c r="AK33" s="13"/>
      <c r="AL33" s="13"/>
      <c r="AM33" s="17">
        <f t="shared" ref="AM33:AO33" si="59">C33+F33+I33+L33+O33+R33+U33+X33+AA33+AD33+AG33+AJ33</f>
        <v>4</v>
      </c>
      <c r="AN33" s="17">
        <f t="shared" si="59"/>
        <v>5</v>
      </c>
      <c r="AO33" s="17">
        <f t="shared" si="59"/>
        <v>0</v>
      </c>
      <c r="AP33" s="18">
        <f t="shared" ref="AP33:AQ33" si="60">IF(AM33=0,0,AN33/AM33)</f>
        <v>1.25</v>
      </c>
      <c r="AQ33" s="18">
        <f t="shared" si="60"/>
        <v>0</v>
      </c>
    </row>
    <row r="34" ht="15.75" customHeight="1">
      <c r="A34" s="10">
        <v>46053.0</v>
      </c>
      <c r="B34" s="11" t="s">
        <v>24</v>
      </c>
      <c r="C34" s="19"/>
      <c r="D34" s="19"/>
      <c r="E34" s="21"/>
      <c r="F34" s="22"/>
      <c r="G34" s="19"/>
      <c r="H34" s="21"/>
      <c r="I34" s="22"/>
      <c r="J34" s="19"/>
      <c r="K34" s="21"/>
      <c r="L34" s="22"/>
      <c r="M34" s="19"/>
      <c r="N34" s="21"/>
      <c r="O34" s="22"/>
      <c r="P34" s="19"/>
      <c r="Q34" s="23"/>
      <c r="R34" s="22"/>
      <c r="S34" s="19"/>
      <c r="T34" s="23"/>
      <c r="U34" s="22"/>
      <c r="V34" s="19"/>
      <c r="W34" s="23"/>
      <c r="X34" s="22"/>
      <c r="Y34" s="19"/>
      <c r="Z34" s="23"/>
      <c r="AA34" s="22"/>
      <c r="AB34" s="19"/>
      <c r="AC34" s="23"/>
      <c r="AD34" s="22"/>
      <c r="AE34" s="19"/>
      <c r="AF34" s="19"/>
      <c r="AG34" s="19"/>
      <c r="AH34" s="19"/>
      <c r="AI34" s="19"/>
      <c r="AJ34" s="19"/>
      <c r="AK34" s="19"/>
      <c r="AL34" s="19"/>
      <c r="AM34" s="17">
        <f t="shared" ref="AM34:AO34" si="61">C34+F34+I34+L34+O34+R34+U34+X34+AA34+AD34+AG34+AJ34</f>
        <v>0</v>
      </c>
      <c r="AN34" s="17">
        <f t="shared" si="61"/>
        <v>0</v>
      </c>
      <c r="AO34" s="17">
        <f t="shared" si="61"/>
        <v>0</v>
      </c>
      <c r="AP34" s="18">
        <f t="shared" ref="AP34:AQ34" si="62">IF(AM34=0,0,AN34/AM34)</f>
        <v>0</v>
      </c>
      <c r="AQ34" s="18">
        <f t="shared" si="62"/>
        <v>0</v>
      </c>
    </row>
    <row r="35" ht="15.75" customHeight="1">
      <c r="A35" s="26" t="s">
        <v>29</v>
      </c>
      <c r="B35" s="27"/>
      <c r="C35" s="28">
        <f t="shared" ref="C35:AO35" si="63">SUM(C4:C34)</f>
        <v>22</v>
      </c>
      <c r="D35" s="28">
        <f t="shared" si="63"/>
        <v>13</v>
      </c>
      <c r="E35" s="28">
        <f t="shared" si="63"/>
        <v>0</v>
      </c>
      <c r="F35" s="28">
        <f t="shared" si="63"/>
        <v>14</v>
      </c>
      <c r="G35" s="28">
        <f t="shared" si="63"/>
        <v>7</v>
      </c>
      <c r="H35" s="28">
        <f t="shared" si="63"/>
        <v>0</v>
      </c>
      <c r="I35" s="28">
        <f t="shared" si="63"/>
        <v>1</v>
      </c>
      <c r="J35" s="28">
        <f t="shared" si="63"/>
        <v>0</v>
      </c>
      <c r="K35" s="28">
        <f t="shared" si="63"/>
        <v>0</v>
      </c>
      <c r="L35" s="28">
        <f t="shared" si="63"/>
        <v>17</v>
      </c>
      <c r="M35" s="28">
        <f t="shared" si="63"/>
        <v>10</v>
      </c>
      <c r="N35" s="28">
        <f t="shared" si="63"/>
        <v>0</v>
      </c>
      <c r="O35" s="28">
        <f t="shared" si="63"/>
        <v>10</v>
      </c>
      <c r="P35" s="28">
        <f t="shared" si="63"/>
        <v>5</v>
      </c>
      <c r="Q35" s="28">
        <f t="shared" si="63"/>
        <v>0</v>
      </c>
      <c r="R35" s="28">
        <f t="shared" si="63"/>
        <v>19</v>
      </c>
      <c r="S35" s="28">
        <f t="shared" si="63"/>
        <v>11</v>
      </c>
      <c r="T35" s="28">
        <f t="shared" si="63"/>
        <v>0</v>
      </c>
      <c r="U35" s="28">
        <f t="shared" si="63"/>
        <v>9</v>
      </c>
      <c r="V35" s="28">
        <f t="shared" si="63"/>
        <v>6</v>
      </c>
      <c r="W35" s="28">
        <f t="shared" si="63"/>
        <v>0</v>
      </c>
      <c r="X35" s="28">
        <f t="shared" si="63"/>
        <v>5</v>
      </c>
      <c r="Y35" s="28">
        <f t="shared" si="63"/>
        <v>2</v>
      </c>
      <c r="Z35" s="28">
        <f t="shared" si="63"/>
        <v>0</v>
      </c>
      <c r="AA35" s="28">
        <f t="shared" si="63"/>
        <v>2</v>
      </c>
      <c r="AB35" s="28">
        <f t="shared" si="63"/>
        <v>2</v>
      </c>
      <c r="AC35" s="28">
        <f t="shared" si="63"/>
        <v>0</v>
      </c>
      <c r="AD35" s="28">
        <f t="shared" si="63"/>
        <v>0</v>
      </c>
      <c r="AE35" s="28">
        <f t="shared" si="63"/>
        <v>0</v>
      </c>
      <c r="AF35" s="28">
        <f t="shared" si="63"/>
        <v>0</v>
      </c>
      <c r="AG35" s="28">
        <f t="shared" si="63"/>
        <v>0</v>
      </c>
      <c r="AH35" s="28">
        <f t="shared" si="63"/>
        <v>0</v>
      </c>
      <c r="AI35" s="28">
        <f t="shared" si="63"/>
        <v>0</v>
      </c>
      <c r="AJ35" s="28">
        <f t="shared" si="63"/>
        <v>0</v>
      </c>
      <c r="AK35" s="28">
        <f t="shared" si="63"/>
        <v>0</v>
      </c>
      <c r="AL35" s="28">
        <f t="shared" si="63"/>
        <v>0</v>
      </c>
      <c r="AM35" s="29">
        <f t="shared" si="63"/>
        <v>99</v>
      </c>
      <c r="AN35" s="29">
        <f t="shared" si="63"/>
        <v>56</v>
      </c>
      <c r="AO35" s="29">
        <f t="shared" si="63"/>
        <v>0</v>
      </c>
      <c r="AP35" s="30">
        <f t="shared" ref="AP35:AQ35" si="64">IF(AM35=0,0,AN35/AM35)</f>
        <v>0.5656565657</v>
      </c>
      <c r="AQ35" s="30">
        <f t="shared" si="64"/>
        <v>0</v>
      </c>
    </row>
    <row r="36" ht="15.75" customHeight="1"/>
    <row r="37" ht="27.75" customHeight="1">
      <c r="A37" s="9" t="s">
        <v>30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</row>
    <row r="38" ht="15.75" customHeight="1">
      <c r="A38" s="10">
        <v>46054.0</v>
      </c>
      <c r="B38" s="11" t="s">
        <v>25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7">
        <f t="shared" ref="AM38:AO38" si="65">C38+F38+I38+L38+O38+R38+U38+X38+AA38+AD38+AG38+AJ38</f>
        <v>0</v>
      </c>
      <c r="AN38" s="17">
        <f t="shared" si="65"/>
        <v>0</v>
      </c>
      <c r="AO38" s="17">
        <f t="shared" si="65"/>
        <v>0</v>
      </c>
      <c r="AP38" s="18">
        <f t="shared" ref="AP38:AQ38" si="66">IF(AM38=0,0,AN38/AM38)</f>
        <v>0</v>
      </c>
      <c r="AQ38" s="18">
        <f t="shared" si="66"/>
        <v>0</v>
      </c>
    </row>
    <row r="39" ht="15.75" customHeight="1">
      <c r="A39" s="10">
        <v>46055.0</v>
      </c>
      <c r="B39" s="11" t="s">
        <v>26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7">
        <f t="shared" ref="AM39:AO39" si="67">C39+F39+I39+L39+O39+R39+U39+X39+AA39+AD39+AG39+AJ39</f>
        <v>0</v>
      </c>
      <c r="AN39" s="17">
        <f t="shared" si="67"/>
        <v>0</v>
      </c>
      <c r="AO39" s="17">
        <f t="shared" si="67"/>
        <v>0</v>
      </c>
      <c r="AP39" s="18">
        <f t="shared" ref="AP39:AQ39" si="68">IF(AM39=0,0,AN39/AM39)</f>
        <v>0</v>
      </c>
      <c r="AQ39" s="18">
        <f t="shared" si="68"/>
        <v>0</v>
      </c>
    </row>
    <row r="40" ht="15.75" customHeight="1">
      <c r="A40" s="10">
        <v>46056.0</v>
      </c>
      <c r="B40" s="11" t="s">
        <v>27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7">
        <f t="shared" ref="AM40:AO40" si="69">C40+F40+I40+L40+O40+R40+U40+X40+AA40+AD40+AG40+AJ40</f>
        <v>0</v>
      </c>
      <c r="AN40" s="17">
        <f t="shared" si="69"/>
        <v>0</v>
      </c>
      <c r="AO40" s="17">
        <f t="shared" si="69"/>
        <v>0</v>
      </c>
      <c r="AP40" s="18">
        <f t="shared" ref="AP40:AQ40" si="70">IF(AM40=0,0,AN40/AM40)</f>
        <v>0</v>
      </c>
      <c r="AQ40" s="18">
        <f t="shared" si="70"/>
        <v>0</v>
      </c>
    </row>
    <row r="41" ht="15.75" customHeight="1">
      <c r="A41" s="10">
        <v>46057.0</v>
      </c>
      <c r="B41" s="11" t="s">
        <v>28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7">
        <f t="shared" ref="AM41:AO41" si="71">C41+F41+I41+L41+O41+R41+U41+X41+AA41+AD41+AG41+AJ41</f>
        <v>0</v>
      </c>
      <c r="AN41" s="17">
        <f t="shared" si="71"/>
        <v>0</v>
      </c>
      <c r="AO41" s="17">
        <f t="shared" si="71"/>
        <v>0</v>
      </c>
      <c r="AP41" s="18">
        <f t="shared" ref="AP41:AQ41" si="72">IF(AM41=0,0,AN41/AM41)</f>
        <v>0</v>
      </c>
      <c r="AQ41" s="18">
        <f t="shared" si="72"/>
        <v>0</v>
      </c>
    </row>
    <row r="42" ht="15.75" customHeight="1">
      <c r="A42" s="10">
        <v>46058.0</v>
      </c>
      <c r="B42" s="11" t="s">
        <v>22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7">
        <f t="shared" ref="AM42:AO42" si="73">C42+F42+I42+L42+O42+R42+U42+X42+AA42+AD42+AG42+AJ42</f>
        <v>0</v>
      </c>
      <c r="AN42" s="17">
        <f t="shared" si="73"/>
        <v>0</v>
      </c>
      <c r="AO42" s="17">
        <f t="shared" si="73"/>
        <v>0</v>
      </c>
      <c r="AP42" s="18">
        <f t="shared" ref="AP42:AQ42" si="74">IF(AM42=0,0,AN42/AM42)</f>
        <v>0</v>
      </c>
      <c r="AQ42" s="18">
        <f t="shared" si="74"/>
        <v>0</v>
      </c>
    </row>
    <row r="43" ht="15.75" customHeight="1">
      <c r="A43" s="10">
        <v>46059.0</v>
      </c>
      <c r="B43" s="11" t="s">
        <v>23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7">
        <f t="shared" ref="AM43:AO43" si="75">C43+F43+I43+L43+O43+R43+U43+X43+AA43+AD43+AG43+AJ43</f>
        <v>0</v>
      </c>
      <c r="AN43" s="17">
        <f t="shared" si="75"/>
        <v>0</v>
      </c>
      <c r="AO43" s="17">
        <f t="shared" si="75"/>
        <v>0</v>
      </c>
      <c r="AP43" s="18">
        <f t="shared" ref="AP43:AQ43" si="76">IF(AM43=0,0,AN43/AM43)</f>
        <v>0</v>
      </c>
      <c r="AQ43" s="18">
        <f t="shared" si="76"/>
        <v>0</v>
      </c>
    </row>
    <row r="44" ht="15.75" customHeight="1">
      <c r="A44" s="10">
        <v>46060.0</v>
      </c>
      <c r="B44" s="11" t="s">
        <v>24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7">
        <f t="shared" ref="AM44:AO44" si="77">C44+F44+I44+L44+O44+R44+U44+X44+AA44+AD44+AG44+AJ44</f>
        <v>0</v>
      </c>
      <c r="AN44" s="17">
        <f t="shared" si="77"/>
        <v>0</v>
      </c>
      <c r="AO44" s="17">
        <f t="shared" si="77"/>
        <v>0</v>
      </c>
      <c r="AP44" s="18">
        <f t="shared" ref="AP44:AQ44" si="78">IF(AM44=0,0,AN44/AM44)</f>
        <v>0</v>
      </c>
      <c r="AQ44" s="18">
        <f t="shared" si="78"/>
        <v>0</v>
      </c>
    </row>
    <row r="45" ht="15.75" customHeight="1">
      <c r="A45" s="10">
        <v>46061.0</v>
      </c>
      <c r="B45" s="11" t="s">
        <v>25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7">
        <f t="shared" ref="AM45:AO45" si="79">C45+F45+I45+L45+O45+R45+U45+X45+AA45+AD45+AG45+AJ45</f>
        <v>0</v>
      </c>
      <c r="AN45" s="17">
        <f t="shared" si="79"/>
        <v>0</v>
      </c>
      <c r="AO45" s="17">
        <f t="shared" si="79"/>
        <v>0</v>
      </c>
      <c r="AP45" s="18">
        <f t="shared" ref="AP45:AQ45" si="80">IF(AM45=0,0,AN45/AM45)</f>
        <v>0</v>
      </c>
      <c r="AQ45" s="18">
        <f t="shared" si="80"/>
        <v>0</v>
      </c>
    </row>
    <row r="46" ht="15.75" customHeight="1">
      <c r="A46" s="10">
        <v>46062.0</v>
      </c>
      <c r="B46" s="11" t="s">
        <v>26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7">
        <f t="shared" ref="AM46:AO46" si="81">C46+F46+I46+L46+O46+R46+U46+X46+AA46+AD46+AG46+AJ46</f>
        <v>0</v>
      </c>
      <c r="AN46" s="17">
        <f t="shared" si="81"/>
        <v>0</v>
      </c>
      <c r="AO46" s="17">
        <f t="shared" si="81"/>
        <v>0</v>
      </c>
      <c r="AP46" s="18">
        <f t="shared" ref="AP46:AQ46" si="82">IF(AM46=0,0,AN46/AM46)</f>
        <v>0</v>
      </c>
      <c r="AQ46" s="18">
        <f t="shared" si="82"/>
        <v>0</v>
      </c>
    </row>
    <row r="47" ht="15.75" customHeight="1">
      <c r="A47" s="10">
        <v>46063.0</v>
      </c>
      <c r="B47" s="11" t="s">
        <v>27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7">
        <f t="shared" ref="AM47:AO47" si="83">C47+F47+I47+L47+O47+R47+U47+X47+AA47+AD47+AG47+AJ47</f>
        <v>0</v>
      </c>
      <c r="AN47" s="17">
        <f t="shared" si="83"/>
        <v>0</v>
      </c>
      <c r="AO47" s="17">
        <f t="shared" si="83"/>
        <v>0</v>
      </c>
      <c r="AP47" s="18">
        <f t="shared" ref="AP47:AQ47" si="84">IF(AM47=0,0,AN47/AM47)</f>
        <v>0</v>
      </c>
      <c r="AQ47" s="18">
        <f t="shared" si="84"/>
        <v>0</v>
      </c>
    </row>
    <row r="48" ht="15.75" customHeight="1">
      <c r="A48" s="10">
        <v>46064.0</v>
      </c>
      <c r="B48" s="11" t="s">
        <v>28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7">
        <f t="shared" ref="AM48:AO48" si="85">C48+F48+I48+L48+O48+R48+U48+X48+AA48+AD48+AG48+AJ48</f>
        <v>0</v>
      </c>
      <c r="AN48" s="17">
        <f t="shared" si="85"/>
        <v>0</v>
      </c>
      <c r="AO48" s="17">
        <f t="shared" si="85"/>
        <v>0</v>
      </c>
      <c r="AP48" s="18">
        <f t="shared" ref="AP48:AQ48" si="86">IF(AM48=0,0,AN48/AM48)</f>
        <v>0</v>
      </c>
      <c r="AQ48" s="18">
        <f t="shared" si="86"/>
        <v>0</v>
      </c>
    </row>
    <row r="49" ht="15.75" customHeight="1">
      <c r="A49" s="10">
        <v>46065.0</v>
      </c>
      <c r="B49" s="11" t="s">
        <v>22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7">
        <f t="shared" ref="AM49:AO49" si="87">C49+F49+I49+L49+O49+R49+U49+X49+AA49+AD49+AG49+AJ49</f>
        <v>0</v>
      </c>
      <c r="AN49" s="17">
        <f t="shared" si="87"/>
        <v>0</v>
      </c>
      <c r="AO49" s="17">
        <f t="shared" si="87"/>
        <v>0</v>
      </c>
      <c r="AP49" s="18">
        <f t="shared" ref="AP49:AQ49" si="88">IF(AM49=0,0,AN49/AM49)</f>
        <v>0</v>
      </c>
      <c r="AQ49" s="18">
        <f t="shared" si="88"/>
        <v>0</v>
      </c>
    </row>
    <row r="50" ht="15.75" customHeight="1">
      <c r="A50" s="10">
        <v>46066.0</v>
      </c>
      <c r="B50" s="11" t="s">
        <v>23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7">
        <f t="shared" ref="AM50:AO50" si="89">C50+F50+I50+L50+O50+R50+U50+X50+AA50+AD50+AG50+AJ50</f>
        <v>0</v>
      </c>
      <c r="AN50" s="17">
        <f t="shared" si="89"/>
        <v>0</v>
      </c>
      <c r="AO50" s="17">
        <f t="shared" si="89"/>
        <v>0</v>
      </c>
      <c r="AP50" s="18">
        <f t="shared" ref="AP50:AQ50" si="90">IF(AM50=0,0,AN50/AM50)</f>
        <v>0</v>
      </c>
      <c r="AQ50" s="18">
        <f t="shared" si="90"/>
        <v>0</v>
      </c>
    </row>
    <row r="51" ht="15.75" customHeight="1">
      <c r="A51" s="10">
        <v>46067.0</v>
      </c>
      <c r="B51" s="11" t="s">
        <v>24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7">
        <f t="shared" ref="AM51:AO51" si="91">C51+F51+I51+L51+O51+R51+U51+X51+AA51+AD51+AG51+AJ51</f>
        <v>0</v>
      </c>
      <c r="AN51" s="17">
        <f t="shared" si="91"/>
        <v>0</v>
      </c>
      <c r="AO51" s="17">
        <f t="shared" si="91"/>
        <v>0</v>
      </c>
      <c r="AP51" s="18">
        <f t="shared" ref="AP51:AQ51" si="92">IF(AM51=0,0,AN51/AM51)</f>
        <v>0</v>
      </c>
      <c r="AQ51" s="18">
        <f t="shared" si="92"/>
        <v>0</v>
      </c>
    </row>
    <row r="52" ht="15.75" customHeight="1">
      <c r="A52" s="10">
        <v>46068.0</v>
      </c>
      <c r="B52" s="11" t="s">
        <v>25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7">
        <f t="shared" ref="AM52:AO52" si="93">C52+F52+I52+L52+O52+R52+U52+X52+AA52+AD52+AG52+AJ52</f>
        <v>0</v>
      </c>
      <c r="AN52" s="17">
        <f t="shared" si="93"/>
        <v>0</v>
      </c>
      <c r="AO52" s="17">
        <f t="shared" si="93"/>
        <v>0</v>
      </c>
      <c r="AP52" s="18">
        <f t="shared" ref="AP52:AQ52" si="94">IF(AM52=0,0,AN52/AM52)</f>
        <v>0</v>
      </c>
      <c r="AQ52" s="18">
        <f t="shared" si="94"/>
        <v>0</v>
      </c>
    </row>
    <row r="53" ht="15.75" customHeight="1">
      <c r="A53" s="10">
        <v>46069.0</v>
      </c>
      <c r="B53" s="11" t="s">
        <v>26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7">
        <f t="shared" ref="AM53:AO53" si="95">C53+F53+I53+L53+O53+R53+U53+X53+AA53+AD53+AG53+AJ53</f>
        <v>0</v>
      </c>
      <c r="AN53" s="17">
        <f t="shared" si="95"/>
        <v>0</v>
      </c>
      <c r="AO53" s="17">
        <f t="shared" si="95"/>
        <v>0</v>
      </c>
      <c r="AP53" s="18">
        <f t="shared" ref="AP53:AQ53" si="96">IF(AM53=0,0,AN53/AM53)</f>
        <v>0</v>
      </c>
      <c r="AQ53" s="18">
        <f t="shared" si="96"/>
        <v>0</v>
      </c>
    </row>
    <row r="54" ht="15.75" customHeight="1">
      <c r="A54" s="10">
        <v>46070.0</v>
      </c>
      <c r="B54" s="11" t="s">
        <v>27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7">
        <f t="shared" ref="AM54:AO54" si="97">C54+F54+I54+L54+O54+R54+U54+X54+AA54+AD54+AG54+AJ54</f>
        <v>0</v>
      </c>
      <c r="AN54" s="17">
        <f t="shared" si="97"/>
        <v>0</v>
      </c>
      <c r="AO54" s="17">
        <f t="shared" si="97"/>
        <v>0</v>
      </c>
      <c r="AP54" s="18">
        <f t="shared" ref="AP54:AQ54" si="98">IF(AM54=0,0,AN54/AM54)</f>
        <v>0</v>
      </c>
      <c r="AQ54" s="18">
        <f t="shared" si="98"/>
        <v>0</v>
      </c>
    </row>
    <row r="55" ht="15.75" customHeight="1">
      <c r="A55" s="10">
        <v>46071.0</v>
      </c>
      <c r="B55" s="11" t="s">
        <v>28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7">
        <f t="shared" ref="AM55:AO55" si="99">C55+F55+I55+L55+O55+R55+U55+X55+AA55+AD55+AG55+AJ55</f>
        <v>0</v>
      </c>
      <c r="AN55" s="17">
        <f t="shared" si="99"/>
        <v>0</v>
      </c>
      <c r="AO55" s="17">
        <f t="shared" si="99"/>
        <v>0</v>
      </c>
      <c r="AP55" s="18">
        <f t="shared" ref="AP55:AQ55" si="100">IF(AM55=0,0,AN55/AM55)</f>
        <v>0</v>
      </c>
      <c r="AQ55" s="18">
        <f t="shared" si="100"/>
        <v>0</v>
      </c>
    </row>
    <row r="56" ht="15.75" customHeight="1">
      <c r="A56" s="10">
        <v>46072.0</v>
      </c>
      <c r="B56" s="11" t="s">
        <v>22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7">
        <f t="shared" ref="AM56:AO56" si="101">C56+F56+I56+L56+O56+R56+U56+X56+AA56+AD56+AG56+AJ56</f>
        <v>0</v>
      </c>
      <c r="AN56" s="17">
        <f t="shared" si="101"/>
        <v>0</v>
      </c>
      <c r="AO56" s="17">
        <f t="shared" si="101"/>
        <v>0</v>
      </c>
      <c r="AP56" s="18">
        <f t="shared" ref="AP56:AQ56" si="102">IF(AM56=0,0,AN56/AM56)</f>
        <v>0</v>
      </c>
      <c r="AQ56" s="18">
        <f t="shared" si="102"/>
        <v>0</v>
      </c>
    </row>
    <row r="57" ht="15.75" customHeight="1">
      <c r="A57" s="10">
        <v>46073.0</v>
      </c>
      <c r="B57" s="11" t="s">
        <v>23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7">
        <f t="shared" ref="AM57:AO57" si="103">C57+F57+I57+L57+O57+R57+U57+X57+AA57+AD57+AG57+AJ57</f>
        <v>0</v>
      </c>
      <c r="AN57" s="17">
        <f t="shared" si="103"/>
        <v>0</v>
      </c>
      <c r="AO57" s="17">
        <f t="shared" si="103"/>
        <v>0</v>
      </c>
      <c r="AP57" s="18">
        <f t="shared" ref="AP57:AQ57" si="104">IF(AM57=0,0,AN57/AM57)</f>
        <v>0</v>
      </c>
      <c r="AQ57" s="18">
        <f t="shared" si="104"/>
        <v>0</v>
      </c>
    </row>
    <row r="58" ht="15.75" customHeight="1">
      <c r="A58" s="10">
        <v>46074.0</v>
      </c>
      <c r="B58" s="11" t="s">
        <v>24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7">
        <f t="shared" ref="AM58:AO58" si="105">C58+F58+I58+L58+O58+R58+U58+X58+AA58+AD58+AG58+AJ58</f>
        <v>0</v>
      </c>
      <c r="AN58" s="17">
        <f t="shared" si="105"/>
        <v>0</v>
      </c>
      <c r="AO58" s="17">
        <f t="shared" si="105"/>
        <v>0</v>
      </c>
      <c r="AP58" s="18">
        <f t="shared" ref="AP58:AQ58" si="106">IF(AM58=0,0,AN58/AM58)</f>
        <v>0</v>
      </c>
      <c r="AQ58" s="18">
        <f t="shared" si="106"/>
        <v>0</v>
      </c>
    </row>
    <row r="59" ht="15.75" customHeight="1">
      <c r="A59" s="10">
        <v>46075.0</v>
      </c>
      <c r="B59" s="11" t="s">
        <v>25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7">
        <f t="shared" ref="AM59:AO59" si="107">C59+F59+I59+L59+O59+R59+U59+X59+AA59+AD59+AG59+AJ59</f>
        <v>0</v>
      </c>
      <c r="AN59" s="17">
        <f t="shared" si="107"/>
        <v>0</v>
      </c>
      <c r="AO59" s="17">
        <f t="shared" si="107"/>
        <v>0</v>
      </c>
      <c r="AP59" s="18">
        <f t="shared" ref="AP59:AQ59" si="108">IF(AM59=0,0,AN59/AM59)</f>
        <v>0</v>
      </c>
      <c r="AQ59" s="18">
        <f t="shared" si="108"/>
        <v>0</v>
      </c>
    </row>
    <row r="60" ht="15.75" customHeight="1">
      <c r="A60" s="10">
        <v>46076.0</v>
      </c>
      <c r="B60" s="11" t="s">
        <v>26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7">
        <f t="shared" ref="AM60:AO60" si="109">C60+F60+I60+L60+O60+R60+U60+X60+AA60+AD60+AG60+AJ60</f>
        <v>0</v>
      </c>
      <c r="AN60" s="17">
        <f t="shared" si="109"/>
        <v>0</v>
      </c>
      <c r="AO60" s="17">
        <f t="shared" si="109"/>
        <v>0</v>
      </c>
      <c r="AP60" s="18">
        <f t="shared" ref="AP60:AQ60" si="110">IF(AM60=0,0,AN60/AM60)</f>
        <v>0</v>
      </c>
      <c r="AQ60" s="18">
        <f t="shared" si="110"/>
        <v>0</v>
      </c>
    </row>
    <row r="61" ht="15.75" customHeight="1">
      <c r="A61" s="10">
        <v>46077.0</v>
      </c>
      <c r="B61" s="11" t="s">
        <v>27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7">
        <f t="shared" ref="AM61:AO61" si="111">C61+F61+I61+L61+O61+R61+U61+X61+AA61+AD61+AG61+AJ61</f>
        <v>0</v>
      </c>
      <c r="AN61" s="17">
        <f t="shared" si="111"/>
        <v>0</v>
      </c>
      <c r="AO61" s="17">
        <f t="shared" si="111"/>
        <v>0</v>
      </c>
      <c r="AP61" s="18">
        <f t="shared" ref="AP61:AQ61" si="112">IF(AM61=0,0,AN61/AM61)</f>
        <v>0</v>
      </c>
      <c r="AQ61" s="18">
        <f t="shared" si="112"/>
        <v>0</v>
      </c>
    </row>
    <row r="62" ht="15.75" customHeight="1">
      <c r="A62" s="10">
        <v>46078.0</v>
      </c>
      <c r="B62" s="11" t="s">
        <v>28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7">
        <f t="shared" ref="AM62:AO62" si="113">C62+F62+I62+L62+O62+R62+U62+X62+AA62+AD62+AG62+AJ62</f>
        <v>0</v>
      </c>
      <c r="AN62" s="17">
        <f t="shared" si="113"/>
        <v>0</v>
      </c>
      <c r="AO62" s="17">
        <f t="shared" si="113"/>
        <v>0</v>
      </c>
      <c r="AP62" s="18">
        <f t="shared" ref="AP62:AQ62" si="114">IF(AM62=0,0,AN62/AM62)</f>
        <v>0</v>
      </c>
      <c r="AQ62" s="18">
        <f t="shared" si="114"/>
        <v>0</v>
      </c>
    </row>
    <row r="63" ht="15.75" customHeight="1">
      <c r="A63" s="10">
        <v>46079.0</v>
      </c>
      <c r="B63" s="11" t="s">
        <v>22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7">
        <f t="shared" ref="AM63:AO63" si="115">C63+F63+I63+L63+O63+R63+U63+X63+AA63+AD63+AG63+AJ63</f>
        <v>0</v>
      </c>
      <c r="AN63" s="17">
        <f t="shared" si="115"/>
        <v>0</v>
      </c>
      <c r="AO63" s="17">
        <f t="shared" si="115"/>
        <v>0</v>
      </c>
      <c r="AP63" s="18">
        <f t="shared" ref="AP63:AQ63" si="116">IF(AM63=0,0,AN63/AM63)</f>
        <v>0</v>
      </c>
      <c r="AQ63" s="18">
        <f t="shared" si="116"/>
        <v>0</v>
      </c>
    </row>
    <row r="64" ht="15.75" customHeight="1">
      <c r="A64" s="10">
        <v>46080.0</v>
      </c>
      <c r="B64" s="11" t="s">
        <v>23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7">
        <f t="shared" ref="AM64:AO64" si="117">C64+F64+I64+L64+O64+R64+U64+X64+AA64+AD64+AG64+AJ64</f>
        <v>0</v>
      </c>
      <c r="AN64" s="17">
        <f t="shared" si="117"/>
        <v>0</v>
      </c>
      <c r="AO64" s="17">
        <f t="shared" si="117"/>
        <v>0</v>
      </c>
      <c r="AP64" s="18">
        <f t="shared" ref="AP64:AQ64" si="118">IF(AM64=0,0,AN64/AM64)</f>
        <v>0</v>
      </c>
      <c r="AQ64" s="18">
        <f t="shared" si="118"/>
        <v>0</v>
      </c>
    </row>
    <row r="65" ht="15.75" customHeight="1">
      <c r="A65" s="10">
        <v>46081.0</v>
      </c>
      <c r="B65" s="11" t="s">
        <v>24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7">
        <f t="shared" ref="AM65:AO65" si="119">C65+F65+I65+L65+O65+R65+U65+X65+AA65+AD65+AG65+AJ65</f>
        <v>0</v>
      </c>
      <c r="AN65" s="17">
        <f t="shared" si="119"/>
        <v>0</v>
      </c>
      <c r="AO65" s="17">
        <f t="shared" si="119"/>
        <v>0</v>
      </c>
      <c r="AP65" s="18">
        <f t="shared" ref="AP65:AQ65" si="120">IF(AM65=0,0,AN65/AM65)</f>
        <v>0</v>
      </c>
      <c r="AQ65" s="18">
        <f t="shared" si="120"/>
        <v>0</v>
      </c>
    </row>
    <row r="66" ht="15.75" customHeight="1">
      <c r="A66" s="26" t="s">
        <v>31</v>
      </c>
      <c r="B66" s="27"/>
      <c r="C66" s="28">
        <f t="shared" ref="C66:AO66" si="121">SUM(C38:C65)</f>
        <v>0</v>
      </c>
      <c r="D66" s="28">
        <f t="shared" si="121"/>
        <v>0</v>
      </c>
      <c r="E66" s="28">
        <f t="shared" si="121"/>
        <v>0</v>
      </c>
      <c r="F66" s="28">
        <f t="shared" si="121"/>
        <v>0</v>
      </c>
      <c r="G66" s="28">
        <f t="shared" si="121"/>
        <v>0</v>
      </c>
      <c r="H66" s="28">
        <f t="shared" si="121"/>
        <v>0</v>
      </c>
      <c r="I66" s="28">
        <f t="shared" si="121"/>
        <v>0</v>
      </c>
      <c r="J66" s="28">
        <f t="shared" si="121"/>
        <v>0</v>
      </c>
      <c r="K66" s="28">
        <f t="shared" si="121"/>
        <v>0</v>
      </c>
      <c r="L66" s="28">
        <f t="shared" si="121"/>
        <v>0</v>
      </c>
      <c r="M66" s="28">
        <f t="shared" si="121"/>
        <v>0</v>
      </c>
      <c r="N66" s="28">
        <f t="shared" si="121"/>
        <v>0</v>
      </c>
      <c r="O66" s="28">
        <f t="shared" si="121"/>
        <v>0</v>
      </c>
      <c r="P66" s="28">
        <f t="shared" si="121"/>
        <v>0</v>
      </c>
      <c r="Q66" s="28">
        <f t="shared" si="121"/>
        <v>0</v>
      </c>
      <c r="R66" s="28">
        <f t="shared" si="121"/>
        <v>0</v>
      </c>
      <c r="S66" s="28">
        <f t="shared" si="121"/>
        <v>0</v>
      </c>
      <c r="T66" s="28">
        <f t="shared" si="121"/>
        <v>0</v>
      </c>
      <c r="U66" s="28">
        <f t="shared" si="121"/>
        <v>0</v>
      </c>
      <c r="V66" s="28">
        <f t="shared" si="121"/>
        <v>0</v>
      </c>
      <c r="W66" s="28">
        <f t="shared" si="121"/>
        <v>0</v>
      </c>
      <c r="X66" s="28">
        <f t="shared" si="121"/>
        <v>0</v>
      </c>
      <c r="Y66" s="28">
        <f t="shared" si="121"/>
        <v>0</v>
      </c>
      <c r="Z66" s="28">
        <f t="shared" si="121"/>
        <v>0</v>
      </c>
      <c r="AA66" s="28">
        <f t="shared" si="121"/>
        <v>0</v>
      </c>
      <c r="AB66" s="28">
        <f t="shared" si="121"/>
        <v>0</v>
      </c>
      <c r="AC66" s="28">
        <f t="shared" si="121"/>
        <v>0</v>
      </c>
      <c r="AD66" s="28">
        <f t="shared" si="121"/>
        <v>0</v>
      </c>
      <c r="AE66" s="28">
        <f t="shared" si="121"/>
        <v>0</v>
      </c>
      <c r="AF66" s="28">
        <f t="shared" si="121"/>
        <v>0</v>
      </c>
      <c r="AG66" s="28">
        <f t="shared" si="121"/>
        <v>0</v>
      </c>
      <c r="AH66" s="28">
        <f t="shared" si="121"/>
        <v>0</v>
      </c>
      <c r="AI66" s="28">
        <f t="shared" si="121"/>
        <v>0</v>
      </c>
      <c r="AJ66" s="28">
        <f t="shared" si="121"/>
        <v>0</v>
      </c>
      <c r="AK66" s="28">
        <f t="shared" si="121"/>
        <v>0</v>
      </c>
      <c r="AL66" s="28">
        <f t="shared" si="121"/>
        <v>0</v>
      </c>
      <c r="AM66" s="29">
        <f t="shared" si="121"/>
        <v>0</v>
      </c>
      <c r="AN66" s="29">
        <f t="shared" si="121"/>
        <v>0</v>
      </c>
      <c r="AO66" s="29">
        <f t="shared" si="121"/>
        <v>0</v>
      </c>
      <c r="AP66" s="30">
        <f t="shared" ref="AP66:AQ66" si="122">IF(AM66=0,0,AN66/AM66)</f>
        <v>0</v>
      </c>
      <c r="AQ66" s="30">
        <f t="shared" si="122"/>
        <v>0</v>
      </c>
    </row>
    <row r="67" ht="15.75" customHeight="1"/>
    <row r="68" ht="27.75" customHeight="1">
      <c r="A68" s="9" t="s">
        <v>32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5"/>
    </row>
    <row r="69" ht="15.75" customHeight="1">
      <c r="A69" s="10">
        <v>46082.0</v>
      </c>
      <c r="B69" s="11" t="s">
        <v>25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7">
        <f t="shared" ref="AM69:AO69" si="123">C69+F69+I69+L69+O69+R69+U69+X69+AA69+AD69+AG69+AJ69</f>
        <v>0</v>
      </c>
      <c r="AN69" s="17">
        <f t="shared" si="123"/>
        <v>0</v>
      </c>
      <c r="AO69" s="17">
        <f t="shared" si="123"/>
        <v>0</v>
      </c>
      <c r="AP69" s="18">
        <f t="shared" ref="AP69:AQ69" si="124">IF(AM69=0,0,AN69/AM69)</f>
        <v>0</v>
      </c>
      <c r="AQ69" s="18">
        <f t="shared" si="124"/>
        <v>0</v>
      </c>
    </row>
    <row r="70" ht="15.75" customHeight="1">
      <c r="A70" s="10">
        <v>46083.0</v>
      </c>
      <c r="B70" s="11" t="s">
        <v>26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7">
        <f t="shared" ref="AM70:AO70" si="125">C70+F70+I70+L70+O70+R70+U70+X70+AA70+AD70+AG70+AJ70</f>
        <v>0</v>
      </c>
      <c r="AN70" s="17">
        <f t="shared" si="125"/>
        <v>0</v>
      </c>
      <c r="AO70" s="17">
        <f t="shared" si="125"/>
        <v>0</v>
      </c>
      <c r="AP70" s="18">
        <f t="shared" ref="AP70:AQ70" si="126">IF(AM70=0,0,AN70/AM70)</f>
        <v>0</v>
      </c>
      <c r="AQ70" s="18">
        <f t="shared" si="126"/>
        <v>0</v>
      </c>
    </row>
    <row r="71" ht="15.75" customHeight="1">
      <c r="A71" s="10">
        <v>46084.0</v>
      </c>
      <c r="B71" s="11" t="s">
        <v>27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7">
        <f t="shared" ref="AM71:AO71" si="127">C71+F71+I71+L71+O71+R71+U71+X71+AA71+AD71+AG71+AJ71</f>
        <v>0</v>
      </c>
      <c r="AN71" s="17">
        <f t="shared" si="127"/>
        <v>0</v>
      </c>
      <c r="AO71" s="17">
        <f t="shared" si="127"/>
        <v>0</v>
      </c>
      <c r="AP71" s="18">
        <f t="shared" ref="AP71:AQ71" si="128">IF(AM71=0,0,AN71/AM71)</f>
        <v>0</v>
      </c>
      <c r="AQ71" s="18">
        <f t="shared" si="128"/>
        <v>0</v>
      </c>
    </row>
    <row r="72" ht="15.75" customHeight="1">
      <c r="A72" s="10">
        <v>46085.0</v>
      </c>
      <c r="B72" s="11" t="s">
        <v>28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7">
        <f t="shared" ref="AM72:AO72" si="129">C72+F72+I72+L72+O72+R72+U72+X72+AA72+AD72+AG72+AJ72</f>
        <v>0</v>
      </c>
      <c r="AN72" s="17">
        <f t="shared" si="129"/>
        <v>0</v>
      </c>
      <c r="AO72" s="17">
        <f t="shared" si="129"/>
        <v>0</v>
      </c>
      <c r="AP72" s="18">
        <f t="shared" ref="AP72:AQ72" si="130">IF(AM72=0,0,AN72/AM72)</f>
        <v>0</v>
      </c>
      <c r="AQ72" s="18">
        <f t="shared" si="130"/>
        <v>0</v>
      </c>
    </row>
    <row r="73" ht="15.75" customHeight="1">
      <c r="A73" s="10">
        <v>46086.0</v>
      </c>
      <c r="B73" s="11" t="s">
        <v>22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7">
        <f t="shared" ref="AM73:AO73" si="131">C73+F73+I73+L73+O73+R73+U73+X73+AA73+AD73+AG73+AJ73</f>
        <v>0</v>
      </c>
      <c r="AN73" s="17">
        <f t="shared" si="131"/>
        <v>0</v>
      </c>
      <c r="AO73" s="17">
        <f t="shared" si="131"/>
        <v>0</v>
      </c>
      <c r="AP73" s="18">
        <f t="shared" ref="AP73:AQ73" si="132">IF(AM73=0,0,AN73/AM73)</f>
        <v>0</v>
      </c>
      <c r="AQ73" s="18">
        <f t="shared" si="132"/>
        <v>0</v>
      </c>
    </row>
    <row r="74" ht="15.75" customHeight="1">
      <c r="A74" s="10">
        <v>46087.0</v>
      </c>
      <c r="B74" s="11" t="s">
        <v>23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7">
        <f t="shared" ref="AM74:AO74" si="133">C74+F74+I74+L74+O74+R74+U74+X74+AA74+AD74+AG74+AJ74</f>
        <v>0</v>
      </c>
      <c r="AN74" s="17">
        <f t="shared" si="133"/>
        <v>0</v>
      </c>
      <c r="AO74" s="17">
        <f t="shared" si="133"/>
        <v>0</v>
      </c>
      <c r="AP74" s="18">
        <f t="shared" ref="AP74:AQ74" si="134">IF(AM74=0,0,AN74/AM74)</f>
        <v>0</v>
      </c>
      <c r="AQ74" s="18">
        <f t="shared" si="134"/>
        <v>0</v>
      </c>
    </row>
    <row r="75" ht="15.75" customHeight="1">
      <c r="A75" s="10">
        <v>46088.0</v>
      </c>
      <c r="B75" s="11" t="s">
        <v>24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7">
        <f t="shared" ref="AM75:AO75" si="135">C75+F75+I75+L75+O75+R75+U75+X75+AA75+AD75+AG75+AJ75</f>
        <v>0</v>
      </c>
      <c r="AN75" s="17">
        <f t="shared" si="135"/>
        <v>0</v>
      </c>
      <c r="AO75" s="17">
        <f t="shared" si="135"/>
        <v>0</v>
      </c>
      <c r="AP75" s="18">
        <f t="shared" ref="AP75:AQ75" si="136">IF(AM75=0,0,AN75/AM75)</f>
        <v>0</v>
      </c>
      <c r="AQ75" s="18">
        <f t="shared" si="136"/>
        <v>0</v>
      </c>
    </row>
    <row r="76" ht="15.75" customHeight="1">
      <c r="A76" s="10">
        <v>46089.0</v>
      </c>
      <c r="B76" s="11" t="s">
        <v>25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7">
        <f t="shared" ref="AM76:AO76" si="137">C76+F76+I76+L76+O76+R76+U76+X76+AA76+AD76+AG76+AJ76</f>
        <v>0</v>
      </c>
      <c r="AN76" s="17">
        <f t="shared" si="137"/>
        <v>0</v>
      </c>
      <c r="AO76" s="17">
        <f t="shared" si="137"/>
        <v>0</v>
      </c>
      <c r="AP76" s="18">
        <f t="shared" ref="AP76:AQ76" si="138">IF(AM76=0,0,AN76/AM76)</f>
        <v>0</v>
      </c>
      <c r="AQ76" s="18">
        <f t="shared" si="138"/>
        <v>0</v>
      </c>
    </row>
    <row r="77" ht="15.75" customHeight="1">
      <c r="A77" s="10">
        <v>46090.0</v>
      </c>
      <c r="B77" s="11" t="s">
        <v>26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7">
        <f t="shared" ref="AM77:AO77" si="139">C77+F77+I77+L77+O77+R77+U77+X77+AA77+AD77+AG77+AJ77</f>
        <v>0</v>
      </c>
      <c r="AN77" s="17">
        <f t="shared" si="139"/>
        <v>0</v>
      </c>
      <c r="AO77" s="17">
        <f t="shared" si="139"/>
        <v>0</v>
      </c>
      <c r="AP77" s="18">
        <f t="shared" ref="AP77:AQ77" si="140">IF(AM77=0,0,AN77/AM77)</f>
        <v>0</v>
      </c>
      <c r="AQ77" s="18">
        <f t="shared" si="140"/>
        <v>0</v>
      </c>
    </row>
    <row r="78" ht="15.75" customHeight="1">
      <c r="A78" s="10">
        <v>46091.0</v>
      </c>
      <c r="B78" s="11" t="s">
        <v>27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7">
        <f t="shared" ref="AM78:AO78" si="141">C78+F78+I78+L78+O78+R78+U78+X78+AA78+AD78+AG78+AJ78</f>
        <v>0</v>
      </c>
      <c r="AN78" s="17">
        <f t="shared" si="141"/>
        <v>0</v>
      </c>
      <c r="AO78" s="17">
        <f t="shared" si="141"/>
        <v>0</v>
      </c>
      <c r="AP78" s="18">
        <f t="shared" ref="AP78:AQ78" si="142">IF(AM78=0,0,AN78/AM78)</f>
        <v>0</v>
      </c>
      <c r="AQ78" s="18">
        <f t="shared" si="142"/>
        <v>0</v>
      </c>
    </row>
    <row r="79" ht="15.75" customHeight="1">
      <c r="A79" s="10">
        <v>46092.0</v>
      </c>
      <c r="B79" s="11" t="s">
        <v>28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7">
        <f t="shared" ref="AM79:AO79" si="143">C79+F79+I79+L79+O79+R79+U79+X79+AA79+AD79+AG79+AJ79</f>
        <v>0</v>
      </c>
      <c r="AN79" s="17">
        <f t="shared" si="143"/>
        <v>0</v>
      </c>
      <c r="AO79" s="17">
        <f t="shared" si="143"/>
        <v>0</v>
      </c>
      <c r="AP79" s="18">
        <f t="shared" ref="AP79:AQ79" si="144">IF(AM79=0,0,AN79/AM79)</f>
        <v>0</v>
      </c>
      <c r="AQ79" s="18">
        <f t="shared" si="144"/>
        <v>0</v>
      </c>
    </row>
    <row r="80" ht="15.75" customHeight="1">
      <c r="A80" s="10">
        <v>46093.0</v>
      </c>
      <c r="B80" s="11" t="s">
        <v>22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7">
        <f t="shared" ref="AM80:AO80" si="145">C80+F80+I80+L80+O80+R80+U80+X80+AA80+AD80+AG80+AJ80</f>
        <v>0</v>
      </c>
      <c r="AN80" s="17">
        <f t="shared" si="145"/>
        <v>0</v>
      </c>
      <c r="AO80" s="17">
        <f t="shared" si="145"/>
        <v>0</v>
      </c>
      <c r="AP80" s="18">
        <f t="shared" ref="AP80:AQ80" si="146">IF(AM80=0,0,AN80/AM80)</f>
        <v>0</v>
      </c>
      <c r="AQ80" s="18">
        <f t="shared" si="146"/>
        <v>0</v>
      </c>
    </row>
    <row r="81" ht="15.75" customHeight="1">
      <c r="A81" s="10">
        <v>46094.0</v>
      </c>
      <c r="B81" s="11" t="s">
        <v>23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7">
        <f t="shared" ref="AM81:AO81" si="147">C81+F81+I81+L81+O81+R81+U81+X81+AA81+AD81+AG81+AJ81</f>
        <v>0</v>
      </c>
      <c r="AN81" s="17">
        <f t="shared" si="147"/>
        <v>0</v>
      </c>
      <c r="AO81" s="17">
        <f t="shared" si="147"/>
        <v>0</v>
      </c>
      <c r="AP81" s="18">
        <f t="shared" ref="AP81:AQ81" si="148">IF(AM81=0,0,AN81/AM81)</f>
        <v>0</v>
      </c>
      <c r="AQ81" s="18">
        <f t="shared" si="148"/>
        <v>0</v>
      </c>
    </row>
    <row r="82" ht="15.75" customHeight="1">
      <c r="A82" s="10">
        <v>46095.0</v>
      </c>
      <c r="B82" s="11" t="s">
        <v>24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7">
        <f t="shared" ref="AM82:AO82" si="149">C82+F82+I82+L82+O82+R82+U82+X82+AA82+AD82+AG82+AJ82</f>
        <v>0</v>
      </c>
      <c r="AN82" s="17">
        <f t="shared" si="149"/>
        <v>0</v>
      </c>
      <c r="AO82" s="17">
        <f t="shared" si="149"/>
        <v>0</v>
      </c>
      <c r="AP82" s="18">
        <f t="shared" ref="AP82:AQ82" si="150">IF(AM82=0,0,AN82/AM82)</f>
        <v>0</v>
      </c>
      <c r="AQ82" s="18">
        <f t="shared" si="150"/>
        <v>0</v>
      </c>
    </row>
    <row r="83" ht="15.75" customHeight="1">
      <c r="A83" s="10">
        <v>46096.0</v>
      </c>
      <c r="B83" s="11" t="s">
        <v>25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7">
        <f t="shared" ref="AM83:AO83" si="151">C83+F83+I83+L83+O83+R83+U83+X83+AA83+AD83+AG83+AJ83</f>
        <v>0</v>
      </c>
      <c r="AN83" s="17">
        <f t="shared" si="151"/>
        <v>0</v>
      </c>
      <c r="AO83" s="17">
        <f t="shared" si="151"/>
        <v>0</v>
      </c>
      <c r="AP83" s="18">
        <f t="shared" ref="AP83:AQ83" si="152">IF(AM83=0,0,AN83/AM83)</f>
        <v>0</v>
      </c>
      <c r="AQ83" s="18">
        <f t="shared" si="152"/>
        <v>0</v>
      </c>
    </row>
    <row r="84" ht="15.75" customHeight="1">
      <c r="A84" s="10">
        <v>46097.0</v>
      </c>
      <c r="B84" s="11" t="s">
        <v>26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7">
        <f t="shared" ref="AM84:AO84" si="153">C84+F84+I84+L84+O84+R84+U84+X84+AA84+AD84+AG84+AJ84</f>
        <v>0</v>
      </c>
      <c r="AN84" s="17">
        <f t="shared" si="153"/>
        <v>0</v>
      </c>
      <c r="AO84" s="17">
        <f t="shared" si="153"/>
        <v>0</v>
      </c>
      <c r="AP84" s="18">
        <f t="shared" ref="AP84:AQ84" si="154">IF(AM84=0,0,AN84/AM84)</f>
        <v>0</v>
      </c>
      <c r="AQ84" s="18">
        <f t="shared" si="154"/>
        <v>0</v>
      </c>
    </row>
    <row r="85" ht="15.75" customHeight="1">
      <c r="A85" s="10">
        <v>46098.0</v>
      </c>
      <c r="B85" s="11" t="s">
        <v>27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7">
        <f t="shared" ref="AM85:AO85" si="155">C85+F85+I85+L85+O85+R85+U85+X85+AA85+AD85+AG85+AJ85</f>
        <v>0</v>
      </c>
      <c r="AN85" s="17">
        <f t="shared" si="155"/>
        <v>0</v>
      </c>
      <c r="AO85" s="17">
        <f t="shared" si="155"/>
        <v>0</v>
      </c>
      <c r="AP85" s="18">
        <f t="shared" ref="AP85:AQ85" si="156">IF(AM85=0,0,AN85/AM85)</f>
        <v>0</v>
      </c>
      <c r="AQ85" s="18">
        <f t="shared" si="156"/>
        <v>0</v>
      </c>
    </row>
    <row r="86" ht="15.75" customHeight="1">
      <c r="A86" s="10">
        <v>46099.0</v>
      </c>
      <c r="B86" s="11" t="s">
        <v>28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7">
        <f t="shared" ref="AM86:AO86" si="157">C86+F86+I86+L86+O86+R86+U86+X86+AA86+AD86+AG86+AJ86</f>
        <v>0</v>
      </c>
      <c r="AN86" s="17">
        <f t="shared" si="157"/>
        <v>0</v>
      </c>
      <c r="AO86" s="17">
        <f t="shared" si="157"/>
        <v>0</v>
      </c>
      <c r="AP86" s="18">
        <f t="shared" ref="AP86:AQ86" si="158">IF(AM86=0,0,AN86/AM86)</f>
        <v>0</v>
      </c>
      <c r="AQ86" s="18">
        <f t="shared" si="158"/>
        <v>0</v>
      </c>
    </row>
    <row r="87" ht="15.75" customHeight="1">
      <c r="A87" s="10">
        <v>46100.0</v>
      </c>
      <c r="B87" s="11" t="s">
        <v>22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7">
        <f t="shared" ref="AM87:AO87" si="159">C87+F87+I87+L87+O87+R87+U87+X87+AA87+AD87+AG87+AJ87</f>
        <v>0</v>
      </c>
      <c r="AN87" s="17">
        <f t="shared" si="159"/>
        <v>0</v>
      </c>
      <c r="AO87" s="17">
        <f t="shared" si="159"/>
        <v>0</v>
      </c>
      <c r="AP87" s="18">
        <f t="shared" ref="AP87:AQ87" si="160">IF(AM87=0,0,AN87/AM87)</f>
        <v>0</v>
      </c>
      <c r="AQ87" s="18">
        <f t="shared" si="160"/>
        <v>0</v>
      </c>
    </row>
    <row r="88" ht="15.75" customHeight="1">
      <c r="A88" s="10">
        <v>46101.0</v>
      </c>
      <c r="B88" s="11" t="s">
        <v>23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7">
        <f t="shared" ref="AM88:AO88" si="161">C88+F88+I88+L88+O88+R88+U88+X88+AA88+AD88+AG88+AJ88</f>
        <v>0</v>
      </c>
      <c r="AN88" s="17">
        <f t="shared" si="161"/>
        <v>0</v>
      </c>
      <c r="AO88" s="17">
        <f t="shared" si="161"/>
        <v>0</v>
      </c>
      <c r="AP88" s="18">
        <f t="shared" ref="AP88:AQ88" si="162">IF(AM88=0,0,AN88/AM88)</f>
        <v>0</v>
      </c>
      <c r="AQ88" s="18">
        <f t="shared" si="162"/>
        <v>0</v>
      </c>
    </row>
    <row r="89" ht="15.75" customHeight="1">
      <c r="A89" s="10">
        <v>46102.0</v>
      </c>
      <c r="B89" s="11" t="s">
        <v>24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7">
        <f t="shared" ref="AM89:AO89" si="163">C89+F89+I89+L89+O89+R89+U89+X89+AA89+AD89+AG89+AJ89</f>
        <v>0</v>
      </c>
      <c r="AN89" s="17">
        <f t="shared" si="163"/>
        <v>0</v>
      </c>
      <c r="AO89" s="17">
        <f t="shared" si="163"/>
        <v>0</v>
      </c>
      <c r="AP89" s="18">
        <f t="shared" ref="AP89:AQ89" si="164">IF(AM89=0,0,AN89/AM89)</f>
        <v>0</v>
      </c>
      <c r="AQ89" s="18">
        <f t="shared" si="164"/>
        <v>0</v>
      </c>
    </row>
    <row r="90" ht="15.75" customHeight="1">
      <c r="A90" s="10">
        <v>46103.0</v>
      </c>
      <c r="B90" s="11" t="s">
        <v>25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7">
        <f t="shared" ref="AM90:AO90" si="165">C90+F90+I90+L90+O90+R90+U90+X90+AA90+AD90+AG90+AJ90</f>
        <v>0</v>
      </c>
      <c r="AN90" s="17">
        <f t="shared" si="165"/>
        <v>0</v>
      </c>
      <c r="AO90" s="17">
        <f t="shared" si="165"/>
        <v>0</v>
      </c>
      <c r="AP90" s="18">
        <f t="shared" ref="AP90:AQ90" si="166">IF(AM90=0,0,AN90/AM90)</f>
        <v>0</v>
      </c>
      <c r="AQ90" s="18">
        <f t="shared" si="166"/>
        <v>0</v>
      </c>
    </row>
    <row r="91" ht="15.75" customHeight="1">
      <c r="A91" s="10">
        <v>46104.0</v>
      </c>
      <c r="B91" s="11" t="s">
        <v>26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7">
        <f t="shared" ref="AM91:AO91" si="167">C91+F91+I91+L91+O91+R91+U91+X91+AA91+AD91+AG91+AJ91</f>
        <v>0</v>
      </c>
      <c r="AN91" s="17">
        <f t="shared" si="167"/>
        <v>0</v>
      </c>
      <c r="AO91" s="17">
        <f t="shared" si="167"/>
        <v>0</v>
      </c>
      <c r="AP91" s="18">
        <f t="shared" ref="AP91:AQ91" si="168">IF(AM91=0,0,AN91/AM91)</f>
        <v>0</v>
      </c>
      <c r="AQ91" s="18">
        <f t="shared" si="168"/>
        <v>0</v>
      </c>
    </row>
    <row r="92" ht="15.75" customHeight="1">
      <c r="A92" s="10">
        <v>46105.0</v>
      </c>
      <c r="B92" s="11" t="s">
        <v>27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7">
        <f t="shared" ref="AM92:AO92" si="169">C92+F92+I92+L92+O92+R92+U92+X92+AA92+AD92+AG92+AJ92</f>
        <v>0</v>
      </c>
      <c r="AN92" s="17">
        <f t="shared" si="169"/>
        <v>0</v>
      </c>
      <c r="AO92" s="17">
        <f t="shared" si="169"/>
        <v>0</v>
      </c>
      <c r="AP92" s="18">
        <f t="shared" ref="AP92:AQ92" si="170">IF(AM92=0,0,AN92/AM92)</f>
        <v>0</v>
      </c>
      <c r="AQ92" s="18">
        <f t="shared" si="170"/>
        <v>0</v>
      </c>
    </row>
    <row r="93" ht="15.75" customHeight="1">
      <c r="A93" s="10">
        <v>46106.0</v>
      </c>
      <c r="B93" s="11" t="s">
        <v>28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7">
        <f t="shared" ref="AM93:AO93" si="171">C93+F93+I93+L93+O93+R93+U93+X93+AA93+AD93+AG93+AJ93</f>
        <v>0</v>
      </c>
      <c r="AN93" s="17">
        <f t="shared" si="171"/>
        <v>0</v>
      </c>
      <c r="AO93" s="17">
        <f t="shared" si="171"/>
        <v>0</v>
      </c>
      <c r="AP93" s="18">
        <f t="shared" ref="AP93:AQ93" si="172">IF(AM93=0,0,AN93/AM93)</f>
        <v>0</v>
      </c>
      <c r="AQ93" s="18">
        <f t="shared" si="172"/>
        <v>0</v>
      </c>
    </row>
    <row r="94" ht="15.75" customHeight="1">
      <c r="A94" s="10">
        <v>46107.0</v>
      </c>
      <c r="B94" s="11" t="s">
        <v>22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7">
        <f t="shared" ref="AM94:AO94" si="173">C94+F94+I94+L94+O94+R94+U94+X94+AA94+AD94+AG94+AJ94</f>
        <v>0</v>
      </c>
      <c r="AN94" s="17">
        <f t="shared" si="173"/>
        <v>0</v>
      </c>
      <c r="AO94" s="17">
        <f t="shared" si="173"/>
        <v>0</v>
      </c>
      <c r="AP94" s="18">
        <f t="shared" ref="AP94:AQ94" si="174">IF(AM94=0,0,AN94/AM94)</f>
        <v>0</v>
      </c>
      <c r="AQ94" s="18">
        <f t="shared" si="174"/>
        <v>0</v>
      </c>
    </row>
    <row r="95" ht="15.75" customHeight="1">
      <c r="A95" s="10">
        <v>46108.0</v>
      </c>
      <c r="B95" s="11" t="s">
        <v>23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7">
        <f t="shared" ref="AM95:AO95" si="175">C95+F95+I95+L95+O95+R95+U95+X95+AA95+AD95+AG95+AJ95</f>
        <v>0</v>
      </c>
      <c r="AN95" s="17">
        <f t="shared" si="175"/>
        <v>0</v>
      </c>
      <c r="AO95" s="17">
        <f t="shared" si="175"/>
        <v>0</v>
      </c>
      <c r="AP95" s="18">
        <f t="shared" ref="AP95:AQ95" si="176">IF(AM95=0,0,AN95/AM95)</f>
        <v>0</v>
      </c>
      <c r="AQ95" s="18">
        <f t="shared" si="176"/>
        <v>0</v>
      </c>
    </row>
    <row r="96" ht="15.75" customHeight="1">
      <c r="A96" s="10">
        <v>46109.0</v>
      </c>
      <c r="B96" s="11" t="s">
        <v>24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7">
        <f t="shared" ref="AM96:AO96" si="177">C96+F96+I96+L96+O96+R96+U96+X96+AA96+AD96+AG96+AJ96</f>
        <v>0</v>
      </c>
      <c r="AN96" s="17">
        <f t="shared" si="177"/>
        <v>0</v>
      </c>
      <c r="AO96" s="17">
        <f t="shared" si="177"/>
        <v>0</v>
      </c>
      <c r="AP96" s="18">
        <f t="shared" ref="AP96:AQ96" si="178">IF(AM96=0,0,AN96/AM96)</f>
        <v>0</v>
      </c>
      <c r="AQ96" s="18">
        <f t="shared" si="178"/>
        <v>0</v>
      </c>
    </row>
    <row r="97" ht="15.75" customHeight="1">
      <c r="A97" s="10">
        <v>46110.0</v>
      </c>
      <c r="B97" s="11" t="s">
        <v>25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7">
        <f t="shared" ref="AM97:AO97" si="179">C97+F97+I97+L97+O97+R97+U97+X97+AA97+AD97+AG97+AJ97</f>
        <v>0</v>
      </c>
      <c r="AN97" s="17">
        <f t="shared" si="179"/>
        <v>0</v>
      </c>
      <c r="AO97" s="17">
        <f t="shared" si="179"/>
        <v>0</v>
      </c>
      <c r="AP97" s="18">
        <f t="shared" ref="AP97:AQ97" si="180">IF(AM97=0,0,AN97/AM97)</f>
        <v>0</v>
      </c>
      <c r="AQ97" s="18">
        <f t="shared" si="180"/>
        <v>0</v>
      </c>
    </row>
    <row r="98" ht="15.75" customHeight="1">
      <c r="A98" s="10">
        <v>46111.0</v>
      </c>
      <c r="B98" s="11" t="s">
        <v>26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7">
        <f t="shared" ref="AM98:AO98" si="181">C98+F98+I98+L98+O98+R98+U98+X98+AA98+AD98+AG98+AJ98</f>
        <v>0</v>
      </c>
      <c r="AN98" s="17">
        <f t="shared" si="181"/>
        <v>0</v>
      </c>
      <c r="AO98" s="17">
        <f t="shared" si="181"/>
        <v>0</v>
      </c>
      <c r="AP98" s="18">
        <f t="shared" ref="AP98:AQ98" si="182">IF(AM98=0,0,AN98/AM98)</f>
        <v>0</v>
      </c>
      <c r="AQ98" s="18">
        <f t="shared" si="182"/>
        <v>0</v>
      </c>
    </row>
    <row r="99" ht="15.75" customHeight="1">
      <c r="A99" s="10">
        <v>46112.0</v>
      </c>
      <c r="B99" s="11" t="s">
        <v>27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7">
        <f t="shared" ref="AM99:AO99" si="183">C99+F99+I99+L99+O99+R99+U99+X99+AA99+AD99+AG99+AJ99</f>
        <v>0</v>
      </c>
      <c r="AN99" s="17">
        <f t="shared" si="183"/>
        <v>0</v>
      </c>
      <c r="AO99" s="17">
        <f t="shared" si="183"/>
        <v>0</v>
      </c>
      <c r="AP99" s="18">
        <f t="shared" ref="AP99:AQ99" si="184">IF(AM99=0,0,AN99/AM99)</f>
        <v>0</v>
      </c>
      <c r="AQ99" s="18">
        <f t="shared" si="184"/>
        <v>0</v>
      </c>
    </row>
    <row r="100" ht="15.75" customHeight="1">
      <c r="A100" s="26" t="s">
        <v>33</v>
      </c>
      <c r="B100" s="27"/>
      <c r="C100" s="28">
        <f t="shared" ref="C100:AO100" si="185">SUM(C69:C99)</f>
        <v>0</v>
      </c>
      <c r="D100" s="28">
        <f t="shared" si="185"/>
        <v>0</v>
      </c>
      <c r="E100" s="28">
        <f t="shared" si="185"/>
        <v>0</v>
      </c>
      <c r="F100" s="28">
        <f t="shared" si="185"/>
        <v>0</v>
      </c>
      <c r="G100" s="28">
        <f t="shared" si="185"/>
        <v>0</v>
      </c>
      <c r="H100" s="28">
        <f t="shared" si="185"/>
        <v>0</v>
      </c>
      <c r="I100" s="28">
        <f t="shared" si="185"/>
        <v>0</v>
      </c>
      <c r="J100" s="28">
        <f t="shared" si="185"/>
        <v>0</v>
      </c>
      <c r="K100" s="28">
        <f t="shared" si="185"/>
        <v>0</v>
      </c>
      <c r="L100" s="28">
        <f t="shared" si="185"/>
        <v>0</v>
      </c>
      <c r="M100" s="28">
        <f t="shared" si="185"/>
        <v>0</v>
      </c>
      <c r="N100" s="28">
        <f t="shared" si="185"/>
        <v>0</v>
      </c>
      <c r="O100" s="28">
        <f t="shared" si="185"/>
        <v>0</v>
      </c>
      <c r="P100" s="28">
        <f t="shared" si="185"/>
        <v>0</v>
      </c>
      <c r="Q100" s="28">
        <f t="shared" si="185"/>
        <v>0</v>
      </c>
      <c r="R100" s="28">
        <f t="shared" si="185"/>
        <v>0</v>
      </c>
      <c r="S100" s="28">
        <f t="shared" si="185"/>
        <v>0</v>
      </c>
      <c r="T100" s="28">
        <f t="shared" si="185"/>
        <v>0</v>
      </c>
      <c r="U100" s="28">
        <f t="shared" si="185"/>
        <v>0</v>
      </c>
      <c r="V100" s="28">
        <f t="shared" si="185"/>
        <v>0</v>
      </c>
      <c r="W100" s="28">
        <f t="shared" si="185"/>
        <v>0</v>
      </c>
      <c r="X100" s="28">
        <f t="shared" si="185"/>
        <v>0</v>
      </c>
      <c r="Y100" s="28">
        <f t="shared" si="185"/>
        <v>0</v>
      </c>
      <c r="Z100" s="28">
        <f t="shared" si="185"/>
        <v>0</v>
      </c>
      <c r="AA100" s="28">
        <f t="shared" si="185"/>
        <v>0</v>
      </c>
      <c r="AB100" s="28">
        <f t="shared" si="185"/>
        <v>0</v>
      </c>
      <c r="AC100" s="28">
        <f t="shared" si="185"/>
        <v>0</v>
      </c>
      <c r="AD100" s="28">
        <f t="shared" si="185"/>
        <v>0</v>
      </c>
      <c r="AE100" s="28">
        <f t="shared" si="185"/>
        <v>0</v>
      </c>
      <c r="AF100" s="28">
        <f t="shared" si="185"/>
        <v>0</v>
      </c>
      <c r="AG100" s="28">
        <f t="shared" si="185"/>
        <v>0</v>
      </c>
      <c r="AH100" s="28">
        <f t="shared" si="185"/>
        <v>0</v>
      </c>
      <c r="AI100" s="28">
        <f t="shared" si="185"/>
        <v>0</v>
      </c>
      <c r="AJ100" s="28">
        <f t="shared" si="185"/>
        <v>0</v>
      </c>
      <c r="AK100" s="28">
        <f t="shared" si="185"/>
        <v>0</v>
      </c>
      <c r="AL100" s="28">
        <f t="shared" si="185"/>
        <v>0</v>
      </c>
      <c r="AM100" s="29">
        <f t="shared" si="185"/>
        <v>0</v>
      </c>
      <c r="AN100" s="29">
        <f t="shared" si="185"/>
        <v>0</v>
      </c>
      <c r="AO100" s="29">
        <f t="shared" si="185"/>
        <v>0</v>
      </c>
      <c r="AP100" s="30">
        <f t="shared" ref="AP100:AQ100" si="186">IF(AM100=0,0,AN100/AM100)</f>
        <v>0</v>
      </c>
      <c r="AQ100" s="30">
        <f t="shared" si="186"/>
        <v>0</v>
      </c>
    </row>
    <row r="101" ht="15.75" customHeight="1"/>
    <row r="102" ht="27.75" customHeight="1">
      <c r="A102" s="9" t="s">
        <v>34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5"/>
    </row>
    <row r="103" ht="15.75" customHeight="1">
      <c r="A103" s="10">
        <v>46113.0</v>
      </c>
      <c r="B103" s="11" t="s">
        <v>28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7">
        <f t="shared" ref="AM103:AO103" si="187">C103+F103+I103+L103+O103+R103+U103+X103+AA103+AD103+AG103+AJ103</f>
        <v>0</v>
      </c>
      <c r="AN103" s="17">
        <f t="shared" si="187"/>
        <v>0</v>
      </c>
      <c r="AO103" s="17">
        <f t="shared" si="187"/>
        <v>0</v>
      </c>
      <c r="AP103" s="18">
        <f t="shared" ref="AP103:AQ103" si="188">IF(AM103=0,0,AN103/AM103)</f>
        <v>0</v>
      </c>
      <c r="AQ103" s="18">
        <f t="shared" si="188"/>
        <v>0</v>
      </c>
    </row>
    <row r="104" ht="15.75" customHeight="1">
      <c r="A104" s="10">
        <v>46114.0</v>
      </c>
      <c r="B104" s="11" t="s">
        <v>22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7">
        <f t="shared" ref="AM104:AO104" si="189">C104+F104+I104+L104+O104+R104+U104+X104+AA104+AD104+AG104+AJ104</f>
        <v>0</v>
      </c>
      <c r="AN104" s="17">
        <f t="shared" si="189"/>
        <v>0</v>
      </c>
      <c r="AO104" s="17">
        <f t="shared" si="189"/>
        <v>0</v>
      </c>
      <c r="AP104" s="18">
        <f t="shared" ref="AP104:AQ104" si="190">IF(AM104=0,0,AN104/AM104)</f>
        <v>0</v>
      </c>
      <c r="AQ104" s="18">
        <f t="shared" si="190"/>
        <v>0</v>
      </c>
    </row>
    <row r="105" ht="15.75" customHeight="1">
      <c r="A105" s="10">
        <v>46115.0</v>
      </c>
      <c r="B105" s="11" t="s">
        <v>23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7">
        <f t="shared" ref="AM105:AO105" si="191">C105+F105+I105+L105+O105+R105+U105+X105+AA105+AD105+AG105+AJ105</f>
        <v>0</v>
      </c>
      <c r="AN105" s="17">
        <f t="shared" si="191"/>
        <v>0</v>
      </c>
      <c r="AO105" s="17">
        <f t="shared" si="191"/>
        <v>0</v>
      </c>
      <c r="AP105" s="18">
        <f t="shared" ref="AP105:AQ105" si="192">IF(AM105=0,0,AN105/AM105)</f>
        <v>0</v>
      </c>
      <c r="AQ105" s="18">
        <f t="shared" si="192"/>
        <v>0</v>
      </c>
    </row>
    <row r="106" ht="15.75" customHeight="1">
      <c r="A106" s="10">
        <v>46116.0</v>
      </c>
      <c r="B106" s="11" t="s">
        <v>24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7">
        <f t="shared" ref="AM106:AO106" si="193">C106+F106+I106+L106+O106+R106+U106+X106+AA106+AD106+AG106+AJ106</f>
        <v>0</v>
      </c>
      <c r="AN106" s="17">
        <f t="shared" si="193"/>
        <v>0</v>
      </c>
      <c r="AO106" s="17">
        <f t="shared" si="193"/>
        <v>0</v>
      </c>
      <c r="AP106" s="18">
        <f t="shared" ref="AP106:AQ106" si="194">IF(AM106=0,0,AN106/AM106)</f>
        <v>0</v>
      </c>
      <c r="AQ106" s="18">
        <f t="shared" si="194"/>
        <v>0</v>
      </c>
    </row>
    <row r="107" ht="15.75" customHeight="1">
      <c r="A107" s="10">
        <v>46117.0</v>
      </c>
      <c r="B107" s="11" t="s">
        <v>25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7">
        <f t="shared" ref="AM107:AO107" si="195">C107+F107+I107+L107+O107+R107+U107+X107+AA107+AD107+AG107+AJ107</f>
        <v>0</v>
      </c>
      <c r="AN107" s="17">
        <f t="shared" si="195"/>
        <v>0</v>
      </c>
      <c r="AO107" s="17">
        <f t="shared" si="195"/>
        <v>0</v>
      </c>
      <c r="AP107" s="18">
        <f t="shared" ref="AP107:AQ107" si="196">IF(AM107=0,0,AN107/AM107)</f>
        <v>0</v>
      </c>
      <c r="AQ107" s="18">
        <f t="shared" si="196"/>
        <v>0</v>
      </c>
    </row>
    <row r="108" ht="15.75" customHeight="1">
      <c r="A108" s="10">
        <v>46118.0</v>
      </c>
      <c r="B108" s="11" t="s">
        <v>26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7">
        <f t="shared" ref="AM108:AO108" si="197">C108+F108+I108+L108+O108+R108+U108+X108+AA108+AD108+AG108+AJ108</f>
        <v>0</v>
      </c>
      <c r="AN108" s="17">
        <f t="shared" si="197"/>
        <v>0</v>
      </c>
      <c r="AO108" s="17">
        <f t="shared" si="197"/>
        <v>0</v>
      </c>
      <c r="AP108" s="18">
        <f t="shared" ref="AP108:AQ108" si="198">IF(AM108=0,0,AN108/AM108)</f>
        <v>0</v>
      </c>
      <c r="AQ108" s="18">
        <f t="shared" si="198"/>
        <v>0</v>
      </c>
    </row>
    <row r="109" ht="15.75" customHeight="1">
      <c r="A109" s="10">
        <v>46119.0</v>
      </c>
      <c r="B109" s="11" t="s">
        <v>27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7">
        <f t="shared" ref="AM109:AO109" si="199">C109+F109+I109+L109+O109+R109+U109+X109+AA109+AD109+AG109+AJ109</f>
        <v>0</v>
      </c>
      <c r="AN109" s="17">
        <f t="shared" si="199"/>
        <v>0</v>
      </c>
      <c r="AO109" s="17">
        <f t="shared" si="199"/>
        <v>0</v>
      </c>
      <c r="AP109" s="18">
        <f t="shared" ref="AP109:AQ109" si="200">IF(AM109=0,0,AN109/AM109)</f>
        <v>0</v>
      </c>
      <c r="AQ109" s="18">
        <f t="shared" si="200"/>
        <v>0</v>
      </c>
    </row>
    <row r="110" ht="15.75" customHeight="1">
      <c r="A110" s="10">
        <v>46120.0</v>
      </c>
      <c r="B110" s="11" t="s">
        <v>28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7">
        <f t="shared" ref="AM110:AO110" si="201">C110+F110+I110+L110+O110+R110+U110+X110+AA110+AD110+AG110+AJ110</f>
        <v>0</v>
      </c>
      <c r="AN110" s="17">
        <f t="shared" si="201"/>
        <v>0</v>
      </c>
      <c r="AO110" s="17">
        <f t="shared" si="201"/>
        <v>0</v>
      </c>
      <c r="AP110" s="18">
        <f t="shared" ref="AP110:AQ110" si="202">IF(AM110=0,0,AN110/AM110)</f>
        <v>0</v>
      </c>
      <c r="AQ110" s="18">
        <f t="shared" si="202"/>
        <v>0</v>
      </c>
    </row>
    <row r="111" ht="15.75" customHeight="1">
      <c r="A111" s="10">
        <v>46121.0</v>
      </c>
      <c r="B111" s="11" t="s">
        <v>22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7">
        <f t="shared" ref="AM111:AO111" si="203">C111+F111+I111+L111+O111+R111+U111+X111+AA111+AD111+AG111+AJ111</f>
        <v>0</v>
      </c>
      <c r="AN111" s="17">
        <f t="shared" si="203"/>
        <v>0</v>
      </c>
      <c r="AO111" s="17">
        <f t="shared" si="203"/>
        <v>0</v>
      </c>
      <c r="AP111" s="18">
        <f t="shared" ref="AP111:AQ111" si="204">IF(AM111=0,0,AN111/AM111)</f>
        <v>0</v>
      </c>
      <c r="AQ111" s="18">
        <f t="shared" si="204"/>
        <v>0</v>
      </c>
    </row>
    <row r="112" ht="15.75" customHeight="1">
      <c r="A112" s="10">
        <v>46122.0</v>
      </c>
      <c r="B112" s="11" t="s">
        <v>23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7">
        <f t="shared" ref="AM112:AO112" si="205">C112+F112+I112+L112+O112+R112+U112+X112+AA112+AD112+AG112+AJ112</f>
        <v>0</v>
      </c>
      <c r="AN112" s="17">
        <f t="shared" si="205"/>
        <v>0</v>
      </c>
      <c r="AO112" s="17">
        <f t="shared" si="205"/>
        <v>0</v>
      </c>
      <c r="AP112" s="18">
        <f t="shared" ref="AP112:AQ112" si="206">IF(AM112=0,0,AN112/AM112)</f>
        <v>0</v>
      </c>
      <c r="AQ112" s="18">
        <f t="shared" si="206"/>
        <v>0</v>
      </c>
    </row>
    <row r="113" ht="15.75" customHeight="1">
      <c r="A113" s="10">
        <v>46123.0</v>
      </c>
      <c r="B113" s="11" t="s">
        <v>24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7">
        <f t="shared" ref="AM113:AO113" si="207">C113+F113+I113+L113+O113+R113+U113+X113+AA113+AD113+AG113+AJ113</f>
        <v>0</v>
      </c>
      <c r="AN113" s="17">
        <f t="shared" si="207"/>
        <v>0</v>
      </c>
      <c r="AO113" s="17">
        <f t="shared" si="207"/>
        <v>0</v>
      </c>
      <c r="AP113" s="18">
        <f t="shared" ref="AP113:AQ113" si="208">IF(AM113=0,0,AN113/AM113)</f>
        <v>0</v>
      </c>
      <c r="AQ113" s="18">
        <f t="shared" si="208"/>
        <v>0</v>
      </c>
    </row>
    <row r="114" ht="15.75" customHeight="1">
      <c r="A114" s="10">
        <v>46124.0</v>
      </c>
      <c r="B114" s="11" t="s">
        <v>25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7">
        <f t="shared" ref="AM114:AO114" si="209">C114+F114+I114+L114+O114+R114+U114+X114+AA114+AD114+AG114+AJ114</f>
        <v>0</v>
      </c>
      <c r="AN114" s="17">
        <f t="shared" si="209"/>
        <v>0</v>
      </c>
      <c r="AO114" s="17">
        <f t="shared" si="209"/>
        <v>0</v>
      </c>
      <c r="AP114" s="18">
        <f t="shared" ref="AP114:AQ114" si="210">IF(AM114=0,0,AN114/AM114)</f>
        <v>0</v>
      </c>
      <c r="AQ114" s="18">
        <f t="shared" si="210"/>
        <v>0</v>
      </c>
    </row>
    <row r="115" ht="15.75" customHeight="1">
      <c r="A115" s="10">
        <v>46125.0</v>
      </c>
      <c r="B115" s="11" t="s">
        <v>26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7">
        <f t="shared" ref="AM115:AO115" si="211">C115+F115+I115+L115+O115+R115+U115+X115+AA115+AD115+AG115+AJ115</f>
        <v>0</v>
      </c>
      <c r="AN115" s="17">
        <f t="shared" si="211"/>
        <v>0</v>
      </c>
      <c r="AO115" s="17">
        <f t="shared" si="211"/>
        <v>0</v>
      </c>
      <c r="AP115" s="18">
        <f t="shared" ref="AP115:AQ115" si="212">IF(AM115=0,0,AN115/AM115)</f>
        <v>0</v>
      </c>
      <c r="AQ115" s="18">
        <f t="shared" si="212"/>
        <v>0</v>
      </c>
    </row>
    <row r="116" ht="15.75" customHeight="1">
      <c r="A116" s="10">
        <v>46126.0</v>
      </c>
      <c r="B116" s="11" t="s">
        <v>27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7">
        <f t="shared" ref="AM116:AO116" si="213">C116+F116+I116+L116+O116+R116+U116+X116+AA116+AD116+AG116+AJ116</f>
        <v>0</v>
      </c>
      <c r="AN116" s="17">
        <f t="shared" si="213"/>
        <v>0</v>
      </c>
      <c r="AO116" s="17">
        <f t="shared" si="213"/>
        <v>0</v>
      </c>
      <c r="AP116" s="18">
        <f t="shared" ref="AP116:AQ116" si="214">IF(AM116=0,0,AN116/AM116)</f>
        <v>0</v>
      </c>
      <c r="AQ116" s="18">
        <f t="shared" si="214"/>
        <v>0</v>
      </c>
    </row>
    <row r="117" ht="15.75" customHeight="1">
      <c r="A117" s="10">
        <v>46127.0</v>
      </c>
      <c r="B117" s="11" t="s">
        <v>28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7">
        <f t="shared" ref="AM117:AO117" si="215">C117+F117+I117+L117+O117+R117+U117+X117+AA117+AD117+AG117+AJ117</f>
        <v>0</v>
      </c>
      <c r="AN117" s="17">
        <f t="shared" si="215"/>
        <v>0</v>
      </c>
      <c r="AO117" s="17">
        <f t="shared" si="215"/>
        <v>0</v>
      </c>
      <c r="AP117" s="18">
        <f t="shared" ref="AP117:AQ117" si="216">IF(AM117=0,0,AN117/AM117)</f>
        <v>0</v>
      </c>
      <c r="AQ117" s="18">
        <f t="shared" si="216"/>
        <v>0</v>
      </c>
    </row>
    <row r="118" ht="15.75" customHeight="1">
      <c r="A118" s="10">
        <v>46128.0</v>
      </c>
      <c r="B118" s="11" t="s">
        <v>22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7">
        <f t="shared" ref="AM118:AO118" si="217">C118+F118+I118+L118+O118+R118+U118+X118+AA118+AD118+AG118+AJ118</f>
        <v>0</v>
      </c>
      <c r="AN118" s="17">
        <f t="shared" si="217"/>
        <v>0</v>
      </c>
      <c r="AO118" s="17">
        <f t="shared" si="217"/>
        <v>0</v>
      </c>
      <c r="AP118" s="18">
        <f t="shared" ref="AP118:AQ118" si="218">IF(AM118=0,0,AN118/AM118)</f>
        <v>0</v>
      </c>
      <c r="AQ118" s="18">
        <f t="shared" si="218"/>
        <v>0</v>
      </c>
    </row>
    <row r="119" ht="15.75" customHeight="1">
      <c r="A119" s="10">
        <v>46129.0</v>
      </c>
      <c r="B119" s="11" t="s">
        <v>23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7">
        <f t="shared" ref="AM119:AO119" si="219">C119+F119+I119+L119+O119+R119+U119+X119+AA119+AD119+AG119+AJ119</f>
        <v>0</v>
      </c>
      <c r="AN119" s="17">
        <f t="shared" si="219"/>
        <v>0</v>
      </c>
      <c r="AO119" s="17">
        <f t="shared" si="219"/>
        <v>0</v>
      </c>
      <c r="AP119" s="18">
        <f t="shared" ref="AP119:AQ119" si="220">IF(AM119=0,0,AN119/AM119)</f>
        <v>0</v>
      </c>
      <c r="AQ119" s="18">
        <f t="shared" si="220"/>
        <v>0</v>
      </c>
    </row>
    <row r="120" ht="15.75" customHeight="1">
      <c r="A120" s="10">
        <v>46130.0</v>
      </c>
      <c r="B120" s="11" t="s">
        <v>24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7">
        <f t="shared" ref="AM120:AO120" si="221">C120+F120+I120+L120+O120+R120+U120+X120+AA120+AD120+AG120+AJ120</f>
        <v>0</v>
      </c>
      <c r="AN120" s="17">
        <f t="shared" si="221"/>
        <v>0</v>
      </c>
      <c r="AO120" s="17">
        <f t="shared" si="221"/>
        <v>0</v>
      </c>
      <c r="AP120" s="18">
        <f t="shared" ref="AP120:AQ120" si="222">IF(AM120=0,0,AN120/AM120)</f>
        <v>0</v>
      </c>
      <c r="AQ120" s="18">
        <f t="shared" si="222"/>
        <v>0</v>
      </c>
    </row>
    <row r="121" ht="15.75" customHeight="1">
      <c r="A121" s="10">
        <v>46131.0</v>
      </c>
      <c r="B121" s="11" t="s">
        <v>25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7">
        <f t="shared" ref="AM121:AO121" si="223">C121+F121+I121+L121+O121+R121+U121+X121+AA121+AD121+AG121+AJ121</f>
        <v>0</v>
      </c>
      <c r="AN121" s="17">
        <f t="shared" si="223"/>
        <v>0</v>
      </c>
      <c r="AO121" s="17">
        <f t="shared" si="223"/>
        <v>0</v>
      </c>
      <c r="AP121" s="18">
        <f t="shared" ref="AP121:AQ121" si="224">IF(AM121=0,0,AN121/AM121)</f>
        <v>0</v>
      </c>
      <c r="AQ121" s="18">
        <f t="shared" si="224"/>
        <v>0</v>
      </c>
    </row>
    <row r="122" ht="15.75" customHeight="1">
      <c r="A122" s="10">
        <v>46132.0</v>
      </c>
      <c r="B122" s="11" t="s">
        <v>26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7">
        <f t="shared" ref="AM122:AO122" si="225">C122+F122+I122+L122+O122+R122+U122+X122+AA122+AD122+AG122+AJ122</f>
        <v>0</v>
      </c>
      <c r="AN122" s="17">
        <f t="shared" si="225"/>
        <v>0</v>
      </c>
      <c r="AO122" s="17">
        <f t="shared" si="225"/>
        <v>0</v>
      </c>
      <c r="AP122" s="18">
        <f t="shared" ref="AP122:AQ122" si="226">IF(AM122=0,0,AN122/AM122)</f>
        <v>0</v>
      </c>
      <c r="AQ122" s="18">
        <f t="shared" si="226"/>
        <v>0</v>
      </c>
    </row>
    <row r="123" ht="15.75" customHeight="1">
      <c r="A123" s="10">
        <v>46133.0</v>
      </c>
      <c r="B123" s="11" t="s">
        <v>27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7">
        <f t="shared" ref="AM123:AO123" si="227">C123+F123+I123+L123+O123+R123+U123+X123+AA123+AD123+AG123+AJ123</f>
        <v>0</v>
      </c>
      <c r="AN123" s="17">
        <f t="shared" si="227"/>
        <v>0</v>
      </c>
      <c r="AO123" s="17">
        <f t="shared" si="227"/>
        <v>0</v>
      </c>
      <c r="AP123" s="18">
        <f t="shared" ref="AP123:AQ123" si="228">IF(AM123=0,0,AN123/AM123)</f>
        <v>0</v>
      </c>
      <c r="AQ123" s="18">
        <f t="shared" si="228"/>
        <v>0</v>
      </c>
    </row>
    <row r="124" ht="15.75" customHeight="1">
      <c r="A124" s="10">
        <v>46134.0</v>
      </c>
      <c r="B124" s="11" t="s">
        <v>28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7">
        <f t="shared" ref="AM124:AO124" si="229">C124+F124+I124+L124+O124+R124+U124+X124+AA124+AD124+AG124+AJ124</f>
        <v>0</v>
      </c>
      <c r="AN124" s="17">
        <f t="shared" si="229"/>
        <v>0</v>
      </c>
      <c r="AO124" s="17">
        <f t="shared" si="229"/>
        <v>0</v>
      </c>
      <c r="AP124" s="18">
        <f t="shared" ref="AP124:AQ124" si="230">IF(AM124=0,0,AN124/AM124)</f>
        <v>0</v>
      </c>
      <c r="AQ124" s="18">
        <f t="shared" si="230"/>
        <v>0</v>
      </c>
    </row>
    <row r="125" ht="15.75" customHeight="1">
      <c r="A125" s="10">
        <v>46135.0</v>
      </c>
      <c r="B125" s="11" t="s">
        <v>22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7">
        <f t="shared" ref="AM125:AO125" si="231">C125+F125+I125+L125+O125+R125+U125+X125+AA125+AD125+AG125+AJ125</f>
        <v>0</v>
      </c>
      <c r="AN125" s="17">
        <f t="shared" si="231"/>
        <v>0</v>
      </c>
      <c r="AO125" s="17">
        <f t="shared" si="231"/>
        <v>0</v>
      </c>
      <c r="AP125" s="18">
        <f t="shared" ref="AP125:AQ125" si="232">IF(AM125=0,0,AN125/AM125)</f>
        <v>0</v>
      </c>
      <c r="AQ125" s="18">
        <f t="shared" si="232"/>
        <v>0</v>
      </c>
    </row>
    <row r="126" ht="15.75" customHeight="1">
      <c r="A126" s="10">
        <v>46136.0</v>
      </c>
      <c r="B126" s="11" t="s">
        <v>23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7">
        <f t="shared" ref="AM126:AO126" si="233">C126+F126+I126+L126+O126+R126+U126+X126+AA126+AD126+AG126+AJ126</f>
        <v>0</v>
      </c>
      <c r="AN126" s="17">
        <f t="shared" si="233"/>
        <v>0</v>
      </c>
      <c r="AO126" s="17">
        <f t="shared" si="233"/>
        <v>0</v>
      </c>
      <c r="AP126" s="18">
        <f t="shared" ref="AP126:AQ126" si="234">IF(AM126=0,0,AN126/AM126)</f>
        <v>0</v>
      </c>
      <c r="AQ126" s="18">
        <f t="shared" si="234"/>
        <v>0</v>
      </c>
    </row>
    <row r="127" ht="15.75" customHeight="1">
      <c r="A127" s="10">
        <v>46137.0</v>
      </c>
      <c r="B127" s="11" t="s">
        <v>24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7">
        <f t="shared" ref="AM127:AO127" si="235">C127+F127+I127+L127+O127+R127+U127+X127+AA127+AD127+AG127+AJ127</f>
        <v>0</v>
      </c>
      <c r="AN127" s="17">
        <f t="shared" si="235"/>
        <v>0</v>
      </c>
      <c r="AO127" s="17">
        <f t="shared" si="235"/>
        <v>0</v>
      </c>
      <c r="AP127" s="18">
        <f t="shared" ref="AP127:AQ127" si="236">IF(AM127=0,0,AN127/AM127)</f>
        <v>0</v>
      </c>
      <c r="AQ127" s="18">
        <f t="shared" si="236"/>
        <v>0</v>
      </c>
    </row>
    <row r="128" ht="15.75" customHeight="1">
      <c r="A128" s="10">
        <v>46138.0</v>
      </c>
      <c r="B128" s="11" t="s">
        <v>25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7">
        <f t="shared" ref="AM128:AO128" si="237">C128+F128+I128+L128+O128+R128+U128+X128+AA128+AD128+AG128+AJ128</f>
        <v>0</v>
      </c>
      <c r="AN128" s="17">
        <f t="shared" si="237"/>
        <v>0</v>
      </c>
      <c r="AO128" s="17">
        <f t="shared" si="237"/>
        <v>0</v>
      </c>
      <c r="AP128" s="18">
        <f t="shared" ref="AP128:AQ128" si="238">IF(AM128=0,0,AN128/AM128)</f>
        <v>0</v>
      </c>
      <c r="AQ128" s="18">
        <f t="shared" si="238"/>
        <v>0</v>
      </c>
    </row>
    <row r="129" ht="15.75" customHeight="1">
      <c r="A129" s="10">
        <v>46139.0</v>
      </c>
      <c r="B129" s="11" t="s">
        <v>26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7">
        <f t="shared" ref="AM129:AO129" si="239">C129+F129+I129+L129+O129+R129+U129+X129+AA129+AD129+AG129+AJ129</f>
        <v>0</v>
      </c>
      <c r="AN129" s="17">
        <f t="shared" si="239"/>
        <v>0</v>
      </c>
      <c r="AO129" s="17">
        <f t="shared" si="239"/>
        <v>0</v>
      </c>
      <c r="AP129" s="18">
        <f t="shared" ref="AP129:AQ129" si="240">IF(AM129=0,0,AN129/AM129)</f>
        <v>0</v>
      </c>
      <c r="AQ129" s="18">
        <f t="shared" si="240"/>
        <v>0</v>
      </c>
    </row>
    <row r="130" ht="15.75" customHeight="1">
      <c r="A130" s="10">
        <v>46140.0</v>
      </c>
      <c r="B130" s="11" t="s">
        <v>27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7">
        <f t="shared" ref="AM130:AO130" si="241">C130+F130+I130+L130+O130+R130+U130+X130+AA130+AD130+AG130+AJ130</f>
        <v>0</v>
      </c>
      <c r="AN130" s="17">
        <f t="shared" si="241"/>
        <v>0</v>
      </c>
      <c r="AO130" s="17">
        <f t="shared" si="241"/>
        <v>0</v>
      </c>
      <c r="AP130" s="18">
        <f t="shared" ref="AP130:AQ130" si="242">IF(AM130=0,0,AN130/AM130)</f>
        <v>0</v>
      </c>
      <c r="AQ130" s="18">
        <f t="shared" si="242"/>
        <v>0</v>
      </c>
    </row>
    <row r="131" ht="15.75" customHeight="1">
      <c r="A131" s="10">
        <v>46141.0</v>
      </c>
      <c r="B131" s="11" t="s">
        <v>28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7">
        <f t="shared" ref="AM131:AO131" si="243">C131+F131+I131+L131+O131+R131+U131+X131+AA131+AD131+AG131+AJ131</f>
        <v>0</v>
      </c>
      <c r="AN131" s="17">
        <f t="shared" si="243"/>
        <v>0</v>
      </c>
      <c r="AO131" s="17">
        <f t="shared" si="243"/>
        <v>0</v>
      </c>
      <c r="AP131" s="18">
        <f t="shared" ref="AP131:AQ131" si="244">IF(AM131=0,0,AN131/AM131)</f>
        <v>0</v>
      </c>
      <c r="AQ131" s="18">
        <f t="shared" si="244"/>
        <v>0</v>
      </c>
    </row>
    <row r="132" ht="15.75" customHeight="1">
      <c r="A132" s="10">
        <v>46142.0</v>
      </c>
      <c r="B132" s="11" t="s">
        <v>22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7">
        <f t="shared" ref="AM132:AO132" si="245">C132+F132+I132+L132+O132+R132+U132+X132+AA132+AD132+AG132+AJ132</f>
        <v>0</v>
      </c>
      <c r="AN132" s="17">
        <f t="shared" si="245"/>
        <v>0</v>
      </c>
      <c r="AO132" s="17">
        <f t="shared" si="245"/>
        <v>0</v>
      </c>
      <c r="AP132" s="18">
        <f t="shared" ref="AP132:AQ132" si="246">IF(AM132=0,0,AN132/AM132)</f>
        <v>0</v>
      </c>
      <c r="AQ132" s="18">
        <f t="shared" si="246"/>
        <v>0</v>
      </c>
    </row>
    <row r="133" ht="15.75" customHeight="1">
      <c r="A133" s="26" t="s">
        <v>35</v>
      </c>
      <c r="B133" s="27"/>
      <c r="C133" s="28">
        <f t="shared" ref="C133:AO133" si="247">SUM(C103:C132)</f>
        <v>0</v>
      </c>
      <c r="D133" s="28">
        <f t="shared" si="247"/>
        <v>0</v>
      </c>
      <c r="E133" s="28">
        <f t="shared" si="247"/>
        <v>0</v>
      </c>
      <c r="F133" s="28">
        <f t="shared" si="247"/>
        <v>0</v>
      </c>
      <c r="G133" s="28">
        <f t="shared" si="247"/>
        <v>0</v>
      </c>
      <c r="H133" s="28">
        <f t="shared" si="247"/>
        <v>0</v>
      </c>
      <c r="I133" s="28">
        <f t="shared" si="247"/>
        <v>0</v>
      </c>
      <c r="J133" s="28">
        <f t="shared" si="247"/>
        <v>0</v>
      </c>
      <c r="K133" s="28">
        <f t="shared" si="247"/>
        <v>0</v>
      </c>
      <c r="L133" s="28">
        <f t="shared" si="247"/>
        <v>0</v>
      </c>
      <c r="M133" s="28">
        <f t="shared" si="247"/>
        <v>0</v>
      </c>
      <c r="N133" s="28">
        <f t="shared" si="247"/>
        <v>0</v>
      </c>
      <c r="O133" s="28">
        <f t="shared" si="247"/>
        <v>0</v>
      </c>
      <c r="P133" s="28">
        <f t="shared" si="247"/>
        <v>0</v>
      </c>
      <c r="Q133" s="28">
        <f t="shared" si="247"/>
        <v>0</v>
      </c>
      <c r="R133" s="28">
        <f t="shared" si="247"/>
        <v>0</v>
      </c>
      <c r="S133" s="28">
        <f t="shared" si="247"/>
        <v>0</v>
      </c>
      <c r="T133" s="28">
        <f t="shared" si="247"/>
        <v>0</v>
      </c>
      <c r="U133" s="28">
        <f t="shared" si="247"/>
        <v>0</v>
      </c>
      <c r="V133" s="28">
        <f t="shared" si="247"/>
        <v>0</v>
      </c>
      <c r="W133" s="28">
        <f t="shared" si="247"/>
        <v>0</v>
      </c>
      <c r="X133" s="28">
        <f t="shared" si="247"/>
        <v>0</v>
      </c>
      <c r="Y133" s="28">
        <f t="shared" si="247"/>
        <v>0</v>
      </c>
      <c r="Z133" s="28">
        <f t="shared" si="247"/>
        <v>0</v>
      </c>
      <c r="AA133" s="28">
        <f t="shared" si="247"/>
        <v>0</v>
      </c>
      <c r="AB133" s="28">
        <f t="shared" si="247"/>
        <v>0</v>
      </c>
      <c r="AC133" s="28">
        <f t="shared" si="247"/>
        <v>0</v>
      </c>
      <c r="AD133" s="28">
        <f t="shared" si="247"/>
        <v>0</v>
      </c>
      <c r="AE133" s="28">
        <f t="shared" si="247"/>
        <v>0</v>
      </c>
      <c r="AF133" s="28">
        <f t="shared" si="247"/>
        <v>0</v>
      </c>
      <c r="AG133" s="28">
        <f t="shared" si="247"/>
        <v>0</v>
      </c>
      <c r="AH133" s="28">
        <f t="shared" si="247"/>
        <v>0</v>
      </c>
      <c r="AI133" s="28">
        <f t="shared" si="247"/>
        <v>0</v>
      </c>
      <c r="AJ133" s="28">
        <f t="shared" si="247"/>
        <v>0</v>
      </c>
      <c r="AK133" s="28">
        <f t="shared" si="247"/>
        <v>0</v>
      </c>
      <c r="AL133" s="28">
        <f t="shared" si="247"/>
        <v>0</v>
      </c>
      <c r="AM133" s="29">
        <f t="shared" si="247"/>
        <v>0</v>
      </c>
      <c r="AN133" s="29">
        <f t="shared" si="247"/>
        <v>0</v>
      </c>
      <c r="AO133" s="29">
        <f t="shared" si="247"/>
        <v>0</v>
      </c>
      <c r="AP133" s="30">
        <f t="shared" ref="AP133:AQ133" si="248">IF(AM133=0,0,AN133/AM133)</f>
        <v>0</v>
      </c>
      <c r="AQ133" s="30">
        <f t="shared" si="248"/>
        <v>0</v>
      </c>
    </row>
    <row r="134" ht="15.75" customHeight="1"/>
    <row r="135" ht="27.75" customHeight="1">
      <c r="A135" s="9" t="s">
        <v>36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5"/>
    </row>
    <row r="136" ht="15.75" customHeight="1">
      <c r="A136" s="10">
        <v>46143.0</v>
      </c>
      <c r="B136" s="11" t="s">
        <v>23</v>
      </c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7">
        <f t="shared" ref="AM136:AO136" si="249">C136+F136+I136+L136+O136+R136+U136+X136+AA136+AD136+AG136+AJ136</f>
        <v>0</v>
      </c>
      <c r="AN136" s="17">
        <f t="shared" si="249"/>
        <v>0</v>
      </c>
      <c r="AO136" s="17">
        <f t="shared" si="249"/>
        <v>0</v>
      </c>
      <c r="AP136" s="18">
        <f t="shared" ref="AP136:AQ136" si="250">IF(AM136=0,0,AN136/AM136)</f>
        <v>0</v>
      </c>
      <c r="AQ136" s="18">
        <f t="shared" si="250"/>
        <v>0</v>
      </c>
    </row>
    <row r="137" ht="15.75" customHeight="1">
      <c r="A137" s="10">
        <v>46144.0</v>
      </c>
      <c r="B137" s="11" t="s">
        <v>24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7">
        <f t="shared" ref="AM137:AO137" si="251">C137+F137+I137+L137+O137+R137+U137+X137+AA137+AD137+AG137+AJ137</f>
        <v>0</v>
      </c>
      <c r="AN137" s="17">
        <f t="shared" si="251"/>
        <v>0</v>
      </c>
      <c r="AO137" s="17">
        <f t="shared" si="251"/>
        <v>0</v>
      </c>
      <c r="AP137" s="18">
        <f t="shared" ref="AP137:AQ137" si="252">IF(AM137=0,0,AN137/AM137)</f>
        <v>0</v>
      </c>
      <c r="AQ137" s="18">
        <f t="shared" si="252"/>
        <v>0</v>
      </c>
    </row>
    <row r="138" ht="15.75" customHeight="1">
      <c r="A138" s="10">
        <v>46145.0</v>
      </c>
      <c r="B138" s="11" t="s">
        <v>25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7">
        <f t="shared" ref="AM138:AO138" si="253">C138+F138+I138+L138+O138+R138+U138+X138+AA138+AD138+AG138+AJ138</f>
        <v>0</v>
      </c>
      <c r="AN138" s="17">
        <f t="shared" si="253"/>
        <v>0</v>
      </c>
      <c r="AO138" s="17">
        <f t="shared" si="253"/>
        <v>0</v>
      </c>
      <c r="AP138" s="18">
        <f t="shared" ref="AP138:AQ138" si="254">IF(AM138=0,0,AN138/AM138)</f>
        <v>0</v>
      </c>
      <c r="AQ138" s="18">
        <f t="shared" si="254"/>
        <v>0</v>
      </c>
    </row>
    <row r="139" ht="15.75" customHeight="1">
      <c r="A139" s="10">
        <v>46146.0</v>
      </c>
      <c r="B139" s="11" t="s">
        <v>26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7">
        <f t="shared" ref="AM139:AO139" si="255">C139+F139+I139+L139+O139+R139+U139+X139+AA139+AD139+AG139+AJ139</f>
        <v>0</v>
      </c>
      <c r="AN139" s="17">
        <f t="shared" si="255"/>
        <v>0</v>
      </c>
      <c r="AO139" s="17">
        <f t="shared" si="255"/>
        <v>0</v>
      </c>
      <c r="AP139" s="18">
        <f t="shared" ref="AP139:AQ139" si="256">IF(AM139=0,0,AN139/AM139)</f>
        <v>0</v>
      </c>
      <c r="AQ139" s="18">
        <f t="shared" si="256"/>
        <v>0</v>
      </c>
    </row>
    <row r="140" ht="15.75" customHeight="1">
      <c r="A140" s="10">
        <v>46147.0</v>
      </c>
      <c r="B140" s="11" t="s">
        <v>27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7">
        <f t="shared" ref="AM140:AO140" si="257">C140+F140+I140+L140+O140+R140+U140+X140+AA140+AD140+AG140+AJ140</f>
        <v>0</v>
      </c>
      <c r="AN140" s="17">
        <f t="shared" si="257"/>
        <v>0</v>
      </c>
      <c r="AO140" s="17">
        <f t="shared" si="257"/>
        <v>0</v>
      </c>
      <c r="AP140" s="18">
        <f t="shared" ref="AP140:AQ140" si="258">IF(AM140=0,0,AN140/AM140)</f>
        <v>0</v>
      </c>
      <c r="AQ140" s="18">
        <f t="shared" si="258"/>
        <v>0</v>
      </c>
    </row>
    <row r="141" ht="15.75" customHeight="1">
      <c r="A141" s="10">
        <v>46148.0</v>
      </c>
      <c r="B141" s="11" t="s">
        <v>28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7">
        <f t="shared" ref="AM141:AO141" si="259">C141+F141+I141+L141+O141+R141+U141+X141+AA141+AD141+AG141+AJ141</f>
        <v>0</v>
      </c>
      <c r="AN141" s="17">
        <f t="shared" si="259"/>
        <v>0</v>
      </c>
      <c r="AO141" s="17">
        <f t="shared" si="259"/>
        <v>0</v>
      </c>
      <c r="AP141" s="18">
        <f t="shared" ref="AP141:AQ141" si="260">IF(AM141=0,0,AN141/AM141)</f>
        <v>0</v>
      </c>
      <c r="AQ141" s="18">
        <f t="shared" si="260"/>
        <v>0</v>
      </c>
    </row>
    <row r="142" ht="15.75" customHeight="1">
      <c r="A142" s="10">
        <v>46149.0</v>
      </c>
      <c r="B142" s="11" t="s">
        <v>22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7">
        <f t="shared" ref="AM142:AO142" si="261">C142+F142+I142+L142+O142+R142+U142+X142+AA142+AD142+AG142+AJ142</f>
        <v>0</v>
      </c>
      <c r="AN142" s="17">
        <f t="shared" si="261"/>
        <v>0</v>
      </c>
      <c r="AO142" s="17">
        <f t="shared" si="261"/>
        <v>0</v>
      </c>
      <c r="AP142" s="18">
        <f t="shared" ref="AP142:AQ142" si="262">IF(AM142=0,0,AN142/AM142)</f>
        <v>0</v>
      </c>
      <c r="AQ142" s="18">
        <f t="shared" si="262"/>
        <v>0</v>
      </c>
    </row>
    <row r="143" ht="15.75" customHeight="1">
      <c r="A143" s="10">
        <v>46150.0</v>
      </c>
      <c r="B143" s="11" t="s">
        <v>23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7">
        <f t="shared" ref="AM143:AO143" si="263">C143+F143+I143+L143+O143+R143+U143+X143+AA143+AD143+AG143+AJ143</f>
        <v>0</v>
      </c>
      <c r="AN143" s="17">
        <f t="shared" si="263"/>
        <v>0</v>
      </c>
      <c r="AO143" s="17">
        <f t="shared" si="263"/>
        <v>0</v>
      </c>
      <c r="AP143" s="18">
        <f t="shared" ref="AP143:AQ143" si="264">IF(AM143=0,0,AN143/AM143)</f>
        <v>0</v>
      </c>
      <c r="AQ143" s="18">
        <f t="shared" si="264"/>
        <v>0</v>
      </c>
    </row>
    <row r="144" ht="15.75" customHeight="1">
      <c r="A144" s="10">
        <v>46151.0</v>
      </c>
      <c r="B144" s="11" t="s">
        <v>24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7">
        <f t="shared" ref="AM144:AO144" si="265">C144+F144+I144+L144+O144+R144+U144+X144+AA144+AD144+AG144+AJ144</f>
        <v>0</v>
      </c>
      <c r="AN144" s="17">
        <f t="shared" si="265"/>
        <v>0</v>
      </c>
      <c r="AO144" s="17">
        <f t="shared" si="265"/>
        <v>0</v>
      </c>
      <c r="AP144" s="18">
        <f t="shared" ref="AP144:AQ144" si="266">IF(AM144=0,0,AN144/AM144)</f>
        <v>0</v>
      </c>
      <c r="AQ144" s="18">
        <f t="shared" si="266"/>
        <v>0</v>
      </c>
    </row>
    <row r="145" ht="15.75" customHeight="1">
      <c r="A145" s="10">
        <v>46152.0</v>
      </c>
      <c r="B145" s="11" t="s">
        <v>25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7">
        <f t="shared" ref="AM145:AO145" si="267">C145+F145+I145+L145+O145+R145+U145+X145+AA145+AD145+AG145+AJ145</f>
        <v>0</v>
      </c>
      <c r="AN145" s="17">
        <f t="shared" si="267"/>
        <v>0</v>
      </c>
      <c r="AO145" s="17">
        <f t="shared" si="267"/>
        <v>0</v>
      </c>
      <c r="AP145" s="18">
        <f t="shared" ref="AP145:AQ145" si="268">IF(AM145=0,0,AN145/AM145)</f>
        <v>0</v>
      </c>
      <c r="AQ145" s="18">
        <f t="shared" si="268"/>
        <v>0</v>
      </c>
    </row>
    <row r="146" ht="15.75" customHeight="1">
      <c r="A146" s="10">
        <v>46153.0</v>
      </c>
      <c r="B146" s="11" t="s">
        <v>26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7">
        <f t="shared" ref="AM146:AO146" si="269">C146+F146+I146+L146+O146+R146+U146+X146+AA146+AD146+AG146+AJ146</f>
        <v>0</v>
      </c>
      <c r="AN146" s="17">
        <f t="shared" si="269"/>
        <v>0</v>
      </c>
      <c r="AO146" s="17">
        <f t="shared" si="269"/>
        <v>0</v>
      </c>
      <c r="AP146" s="18">
        <f t="shared" ref="AP146:AQ146" si="270">IF(AM146=0,0,AN146/AM146)</f>
        <v>0</v>
      </c>
      <c r="AQ146" s="18">
        <f t="shared" si="270"/>
        <v>0</v>
      </c>
    </row>
    <row r="147" ht="15.75" customHeight="1">
      <c r="A147" s="10">
        <v>46154.0</v>
      </c>
      <c r="B147" s="11" t="s">
        <v>27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7">
        <f t="shared" ref="AM147:AO147" si="271">C147+F147+I147+L147+O147+R147+U147+X147+AA147+AD147+AG147+AJ147</f>
        <v>0</v>
      </c>
      <c r="AN147" s="17">
        <f t="shared" si="271"/>
        <v>0</v>
      </c>
      <c r="AO147" s="17">
        <f t="shared" si="271"/>
        <v>0</v>
      </c>
      <c r="AP147" s="18">
        <f t="shared" ref="AP147:AQ147" si="272">IF(AM147=0,0,AN147/AM147)</f>
        <v>0</v>
      </c>
      <c r="AQ147" s="18">
        <f t="shared" si="272"/>
        <v>0</v>
      </c>
    </row>
    <row r="148" ht="15.75" customHeight="1">
      <c r="A148" s="10">
        <v>46155.0</v>
      </c>
      <c r="B148" s="11" t="s">
        <v>28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7">
        <f t="shared" ref="AM148:AO148" si="273">C148+F148+I148+L148+O148+R148+U148+X148+AA148+AD148+AG148+AJ148</f>
        <v>0</v>
      </c>
      <c r="AN148" s="17">
        <f t="shared" si="273"/>
        <v>0</v>
      </c>
      <c r="AO148" s="17">
        <f t="shared" si="273"/>
        <v>0</v>
      </c>
      <c r="AP148" s="18">
        <f t="shared" ref="AP148:AQ148" si="274">IF(AM148=0,0,AN148/AM148)</f>
        <v>0</v>
      </c>
      <c r="AQ148" s="18">
        <f t="shared" si="274"/>
        <v>0</v>
      </c>
    </row>
    <row r="149" ht="15.75" customHeight="1">
      <c r="A149" s="10">
        <v>46156.0</v>
      </c>
      <c r="B149" s="11" t="s">
        <v>22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7">
        <f t="shared" ref="AM149:AO149" si="275">C149+F149+I149+L149+O149+R149+U149+X149+AA149+AD149+AG149+AJ149</f>
        <v>0</v>
      </c>
      <c r="AN149" s="17">
        <f t="shared" si="275"/>
        <v>0</v>
      </c>
      <c r="AO149" s="17">
        <f t="shared" si="275"/>
        <v>0</v>
      </c>
      <c r="AP149" s="18">
        <f t="shared" ref="AP149:AQ149" si="276">IF(AM149=0,0,AN149/AM149)</f>
        <v>0</v>
      </c>
      <c r="AQ149" s="18">
        <f t="shared" si="276"/>
        <v>0</v>
      </c>
    </row>
    <row r="150" ht="15.75" customHeight="1">
      <c r="A150" s="10">
        <v>46157.0</v>
      </c>
      <c r="B150" s="11" t="s">
        <v>23</v>
      </c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7">
        <f t="shared" ref="AM150:AO150" si="277">C150+F150+I150+L150+O150+R150+U150+X150+AA150+AD150+AG150+AJ150</f>
        <v>0</v>
      </c>
      <c r="AN150" s="17">
        <f t="shared" si="277"/>
        <v>0</v>
      </c>
      <c r="AO150" s="17">
        <f t="shared" si="277"/>
        <v>0</v>
      </c>
      <c r="AP150" s="18">
        <f t="shared" ref="AP150:AQ150" si="278">IF(AM150=0,0,AN150/AM150)</f>
        <v>0</v>
      </c>
      <c r="AQ150" s="18">
        <f t="shared" si="278"/>
        <v>0</v>
      </c>
    </row>
    <row r="151" ht="15.75" customHeight="1">
      <c r="A151" s="10">
        <v>46158.0</v>
      </c>
      <c r="B151" s="11" t="s">
        <v>24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7">
        <f t="shared" ref="AM151:AO151" si="279">C151+F151+I151+L151+O151+R151+U151+X151+AA151+AD151+AG151+AJ151</f>
        <v>0</v>
      </c>
      <c r="AN151" s="17">
        <f t="shared" si="279"/>
        <v>0</v>
      </c>
      <c r="AO151" s="17">
        <f t="shared" si="279"/>
        <v>0</v>
      </c>
      <c r="AP151" s="18">
        <f t="shared" ref="AP151:AQ151" si="280">IF(AM151=0,0,AN151/AM151)</f>
        <v>0</v>
      </c>
      <c r="AQ151" s="18">
        <f t="shared" si="280"/>
        <v>0</v>
      </c>
    </row>
    <row r="152" ht="15.75" customHeight="1">
      <c r="A152" s="10">
        <v>46159.0</v>
      </c>
      <c r="B152" s="11" t="s">
        <v>25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7">
        <f t="shared" ref="AM152:AO152" si="281">C152+F152+I152+L152+O152+R152+U152+X152+AA152+AD152+AG152+AJ152</f>
        <v>0</v>
      </c>
      <c r="AN152" s="17">
        <f t="shared" si="281"/>
        <v>0</v>
      </c>
      <c r="AO152" s="17">
        <f t="shared" si="281"/>
        <v>0</v>
      </c>
      <c r="AP152" s="18">
        <f t="shared" ref="AP152:AQ152" si="282">IF(AM152=0,0,AN152/AM152)</f>
        <v>0</v>
      </c>
      <c r="AQ152" s="18">
        <f t="shared" si="282"/>
        <v>0</v>
      </c>
    </row>
    <row r="153" ht="15.75" customHeight="1">
      <c r="A153" s="10">
        <v>46160.0</v>
      </c>
      <c r="B153" s="11" t="s">
        <v>26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7">
        <f t="shared" ref="AM153:AO153" si="283">C153+F153+I153+L153+O153+R153+U153+X153+AA153+AD153+AG153+AJ153</f>
        <v>0</v>
      </c>
      <c r="AN153" s="17">
        <f t="shared" si="283"/>
        <v>0</v>
      </c>
      <c r="AO153" s="17">
        <f t="shared" si="283"/>
        <v>0</v>
      </c>
      <c r="AP153" s="18">
        <f t="shared" ref="AP153:AQ153" si="284">IF(AM153=0,0,AN153/AM153)</f>
        <v>0</v>
      </c>
      <c r="AQ153" s="18">
        <f t="shared" si="284"/>
        <v>0</v>
      </c>
    </row>
    <row r="154" ht="15.75" customHeight="1">
      <c r="A154" s="10">
        <v>46161.0</v>
      </c>
      <c r="B154" s="11" t="s">
        <v>27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7">
        <f t="shared" ref="AM154:AO154" si="285">C154+F154+I154+L154+O154+R154+U154+X154+AA154+AD154+AG154+AJ154</f>
        <v>0</v>
      </c>
      <c r="AN154" s="17">
        <f t="shared" si="285"/>
        <v>0</v>
      </c>
      <c r="AO154" s="17">
        <f t="shared" si="285"/>
        <v>0</v>
      </c>
      <c r="AP154" s="18">
        <f t="shared" ref="AP154:AQ154" si="286">IF(AM154=0,0,AN154/AM154)</f>
        <v>0</v>
      </c>
      <c r="AQ154" s="18">
        <f t="shared" si="286"/>
        <v>0</v>
      </c>
    </row>
    <row r="155" ht="15.75" customHeight="1">
      <c r="A155" s="10">
        <v>46162.0</v>
      </c>
      <c r="B155" s="11" t="s">
        <v>28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7">
        <f t="shared" ref="AM155:AO155" si="287">C155+F155+I155+L155+O155+R155+U155+X155+AA155+AD155+AG155+AJ155</f>
        <v>0</v>
      </c>
      <c r="AN155" s="17">
        <f t="shared" si="287"/>
        <v>0</v>
      </c>
      <c r="AO155" s="17">
        <f t="shared" si="287"/>
        <v>0</v>
      </c>
      <c r="AP155" s="18">
        <f t="shared" ref="AP155:AQ155" si="288">IF(AM155=0,0,AN155/AM155)</f>
        <v>0</v>
      </c>
      <c r="AQ155" s="18">
        <f t="shared" si="288"/>
        <v>0</v>
      </c>
    </row>
    <row r="156" ht="15.75" customHeight="1">
      <c r="A156" s="10">
        <v>46163.0</v>
      </c>
      <c r="B156" s="11" t="s">
        <v>22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7">
        <f t="shared" ref="AM156:AO156" si="289">C156+F156+I156+L156+O156+R156+U156+X156+AA156+AD156+AG156+AJ156</f>
        <v>0</v>
      </c>
      <c r="AN156" s="17">
        <f t="shared" si="289"/>
        <v>0</v>
      </c>
      <c r="AO156" s="17">
        <f t="shared" si="289"/>
        <v>0</v>
      </c>
      <c r="AP156" s="18">
        <f t="shared" ref="AP156:AQ156" si="290">IF(AM156=0,0,AN156/AM156)</f>
        <v>0</v>
      </c>
      <c r="AQ156" s="18">
        <f t="shared" si="290"/>
        <v>0</v>
      </c>
    </row>
    <row r="157" ht="15.75" customHeight="1">
      <c r="A157" s="10">
        <v>46164.0</v>
      </c>
      <c r="B157" s="11" t="s">
        <v>23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7">
        <f t="shared" ref="AM157:AO157" si="291">C157+F157+I157+L157+O157+R157+U157+X157+AA157+AD157+AG157+AJ157</f>
        <v>0</v>
      </c>
      <c r="AN157" s="17">
        <f t="shared" si="291"/>
        <v>0</v>
      </c>
      <c r="AO157" s="17">
        <f t="shared" si="291"/>
        <v>0</v>
      </c>
      <c r="AP157" s="18">
        <f t="shared" ref="AP157:AQ157" si="292">IF(AM157=0,0,AN157/AM157)</f>
        <v>0</v>
      </c>
      <c r="AQ157" s="18">
        <f t="shared" si="292"/>
        <v>0</v>
      </c>
    </row>
    <row r="158" ht="15.75" customHeight="1">
      <c r="A158" s="10">
        <v>46165.0</v>
      </c>
      <c r="B158" s="11" t="s">
        <v>24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7">
        <f t="shared" ref="AM158:AO158" si="293">C158+F158+I158+L158+O158+R158+U158+X158+AA158+AD158+AG158+AJ158</f>
        <v>0</v>
      </c>
      <c r="AN158" s="17">
        <f t="shared" si="293"/>
        <v>0</v>
      </c>
      <c r="AO158" s="17">
        <f t="shared" si="293"/>
        <v>0</v>
      </c>
      <c r="AP158" s="18">
        <f t="shared" ref="AP158:AQ158" si="294">IF(AM158=0,0,AN158/AM158)</f>
        <v>0</v>
      </c>
      <c r="AQ158" s="18">
        <f t="shared" si="294"/>
        <v>0</v>
      </c>
    </row>
    <row r="159" ht="15.75" customHeight="1">
      <c r="A159" s="10">
        <v>46166.0</v>
      </c>
      <c r="B159" s="11" t="s">
        <v>25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7">
        <f t="shared" ref="AM159:AO159" si="295">C159+F159+I159+L159+O159+R159+U159+X159+AA159+AD159+AG159+AJ159</f>
        <v>0</v>
      </c>
      <c r="AN159" s="17">
        <f t="shared" si="295"/>
        <v>0</v>
      </c>
      <c r="AO159" s="17">
        <f t="shared" si="295"/>
        <v>0</v>
      </c>
      <c r="AP159" s="18">
        <f t="shared" ref="AP159:AQ159" si="296">IF(AM159=0,0,AN159/AM159)</f>
        <v>0</v>
      </c>
      <c r="AQ159" s="18">
        <f t="shared" si="296"/>
        <v>0</v>
      </c>
    </row>
    <row r="160" ht="15.75" customHeight="1">
      <c r="A160" s="10">
        <v>46167.0</v>
      </c>
      <c r="B160" s="11" t="s">
        <v>26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7">
        <f t="shared" ref="AM160:AO160" si="297">C160+F160+I160+L160+O160+R160+U160+X160+AA160+AD160+AG160+AJ160</f>
        <v>0</v>
      </c>
      <c r="AN160" s="17">
        <f t="shared" si="297"/>
        <v>0</v>
      </c>
      <c r="AO160" s="17">
        <f t="shared" si="297"/>
        <v>0</v>
      </c>
      <c r="AP160" s="18">
        <f t="shared" ref="AP160:AQ160" si="298">IF(AM160=0,0,AN160/AM160)</f>
        <v>0</v>
      </c>
      <c r="AQ160" s="18">
        <f t="shared" si="298"/>
        <v>0</v>
      </c>
    </row>
    <row r="161" ht="15.75" customHeight="1">
      <c r="A161" s="10">
        <v>46168.0</v>
      </c>
      <c r="B161" s="11" t="s">
        <v>27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7">
        <f t="shared" ref="AM161:AO161" si="299">C161+F161+I161+L161+O161+R161+U161+X161+AA161+AD161+AG161+AJ161</f>
        <v>0</v>
      </c>
      <c r="AN161" s="17">
        <f t="shared" si="299"/>
        <v>0</v>
      </c>
      <c r="AO161" s="17">
        <f t="shared" si="299"/>
        <v>0</v>
      </c>
      <c r="AP161" s="18">
        <f t="shared" ref="AP161:AQ161" si="300">IF(AM161=0,0,AN161/AM161)</f>
        <v>0</v>
      </c>
      <c r="AQ161" s="18">
        <f t="shared" si="300"/>
        <v>0</v>
      </c>
    </row>
    <row r="162" ht="15.75" customHeight="1">
      <c r="A162" s="10">
        <v>46169.0</v>
      </c>
      <c r="B162" s="11" t="s">
        <v>28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7">
        <f t="shared" ref="AM162:AO162" si="301">C162+F162+I162+L162+O162+R162+U162+X162+AA162+AD162+AG162+AJ162</f>
        <v>0</v>
      </c>
      <c r="AN162" s="17">
        <f t="shared" si="301"/>
        <v>0</v>
      </c>
      <c r="AO162" s="17">
        <f t="shared" si="301"/>
        <v>0</v>
      </c>
      <c r="AP162" s="18">
        <f t="shared" ref="AP162:AQ162" si="302">IF(AM162=0,0,AN162/AM162)</f>
        <v>0</v>
      </c>
      <c r="AQ162" s="18">
        <f t="shared" si="302"/>
        <v>0</v>
      </c>
    </row>
    <row r="163" ht="15.75" customHeight="1">
      <c r="A163" s="10">
        <v>46170.0</v>
      </c>
      <c r="B163" s="11" t="s">
        <v>22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7">
        <f t="shared" ref="AM163:AO163" si="303">C163+F163+I163+L163+O163+R163+U163+X163+AA163+AD163+AG163+AJ163</f>
        <v>0</v>
      </c>
      <c r="AN163" s="17">
        <f t="shared" si="303"/>
        <v>0</v>
      </c>
      <c r="AO163" s="17">
        <f t="shared" si="303"/>
        <v>0</v>
      </c>
      <c r="AP163" s="18">
        <f t="shared" ref="AP163:AQ163" si="304">IF(AM163=0,0,AN163/AM163)</f>
        <v>0</v>
      </c>
      <c r="AQ163" s="18">
        <f t="shared" si="304"/>
        <v>0</v>
      </c>
    </row>
    <row r="164" ht="15.75" customHeight="1">
      <c r="A164" s="10">
        <v>46171.0</v>
      </c>
      <c r="B164" s="11" t="s">
        <v>23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7">
        <f t="shared" ref="AM164:AO164" si="305">C164+F164+I164+L164+O164+R164+U164+X164+AA164+AD164+AG164+AJ164</f>
        <v>0</v>
      </c>
      <c r="AN164" s="17">
        <f t="shared" si="305"/>
        <v>0</v>
      </c>
      <c r="AO164" s="17">
        <f t="shared" si="305"/>
        <v>0</v>
      </c>
      <c r="AP164" s="18">
        <f t="shared" ref="AP164:AQ164" si="306">IF(AM164=0,0,AN164/AM164)</f>
        <v>0</v>
      </c>
      <c r="AQ164" s="18">
        <f t="shared" si="306"/>
        <v>0</v>
      </c>
    </row>
    <row r="165" ht="15.75" customHeight="1">
      <c r="A165" s="10">
        <v>46172.0</v>
      </c>
      <c r="B165" s="11" t="s">
        <v>24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7">
        <f t="shared" ref="AM165:AO165" si="307">C165+F165+I165+L165+O165+R165+U165+X165+AA165+AD165+AG165+AJ165</f>
        <v>0</v>
      </c>
      <c r="AN165" s="17">
        <f t="shared" si="307"/>
        <v>0</v>
      </c>
      <c r="AO165" s="17">
        <f t="shared" si="307"/>
        <v>0</v>
      </c>
      <c r="AP165" s="18">
        <f t="shared" ref="AP165:AQ165" si="308">IF(AM165=0,0,AN165/AM165)</f>
        <v>0</v>
      </c>
      <c r="AQ165" s="18">
        <f t="shared" si="308"/>
        <v>0</v>
      </c>
    </row>
    <row r="166" ht="15.75" customHeight="1">
      <c r="A166" s="10">
        <v>46173.0</v>
      </c>
      <c r="B166" s="11" t="s">
        <v>25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7">
        <f t="shared" ref="AM166:AO166" si="309">C166+F166+I166+L166+O166+R166+U166+X166+AA166+AD166+AG166+AJ166</f>
        <v>0</v>
      </c>
      <c r="AN166" s="17">
        <f t="shared" si="309"/>
        <v>0</v>
      </c>
      <c r="AO166" s="17">
        <f t="shared" si="309"/>
        <v>0</v>
      </c>
      <c r="AP166" s="18">
        <f t="shared" ref="AP166:AQ166" si="310">IF(AM166=0,0,AN166/AM166)</f>
        <v>0</v>
      </c>
      <c r="AQ166" s="18">
        <f t="shared" si="310"/>
        <v>0</v>
      </c>
    </row>
    <row r="167" ht="15.75" customHeight="1">
      <c r="A167" s="26" t="s">
        <v>37</v>
      </c>
      <c r="B167" s="27"/>
      <c r="C167" s="28">
        <f t="shared" ref="C167:AO167" si="311">SUM(C136:C166)</f>
        <v>0</v>
      </c>
      <c r="D167" s="28">
        <f t="shared" si="311"/>
        <v>0</v>
      </c>
      <c r="E167" s="28">
        <f t="shared" si="311"/>
        <v>0</v>
      </c>
      <c r="F167" s="28">
        <f t="shared" si="311"/>
        <v>0</v>
      </c>
      <c r="G167" s="28">
        <f t="shared" si="311"/>
        <v>0</v>
      </c>
      <c r="H167" s="28">
        <f t="shared" si="311"/>
        <v>0</v>
      </c>
      <c r="I167" s="28">
        <f t="shared" si="311"/>
        <v>0</v>
      </c>
      <c r="J167" s="28">
        <f t="shared" si="311"/>
        <v>0</v>
      </c>
      <c r="K167" s="28">
        <f t="shared" si="311"/>
        <v>0</v>
      </c>
      <c r="L167" s="28">
        <f t="shared" si="311"/>
        <v>0</v>
      </c>
      <c r="M167" s="28">
        <f t="shared" si="311"/>
        <v>0</v>
      </c>
      <c r="N167" s="28">
        <f t="shared" si="311"/>
        <v>0</v>
      </c>
      <c r="O167" s="28">
        <f t="shared" si="311"/>
        <v>0</v>
      </c>
      <c r="P167" s="28">
        <f t="shared" si="311"/>
        <v>0</v>
      </c>
      <c r="Q167" s="28">
        <f t="shared" si="311"/>
        <v>0</v>
      </c>
      <c r="R167" s="28">
        <f t="shared" si="311"/>
        <v>0</v>
      </c>
      <c r="S167" s="28">
        <f t="shared" si="311"/>
        <v>0</v>
      </c>
      <c r="T167" s="28">
        <f t="shared" si="311"/>
        <v>0</v>
      </c>
      <c r="U167" s="28">
        <f t="shared" si="311"/>
        <v>0</v>
      </c>
      <c r="V167" s="28">
        <f t="shared" si="311"/>
        <v>0</v>
      </c>
      <c r="W167" s="28">
        <f t="shared" si="311"/>
        <v>0</v>
      </c>
      <c r="X167" s="28">
        <f t="shared" si="311"/>
        <v>0</v>
      </c>
      <c r="Y167" s="28">
        <f t="shared" si="311"/>
        <v>0</v>
      </c>
      <c r="Z167" s="28">
        <f t="shared" si="311"/>
        <v>0</v>
      </c>
      <c r="AA167" s="28">
        <f t="shared" si="311"/>
        <v>0</v>
      </c>
      <c r="AB167" s="28">
        <f t="shared" si="311"/>
        <v>0</v>
      </c>
      <c r="AC167" s="28">
        <f t="shared" si="311"/>
        <v>0</v>
      </c>
      <c r="AD167" s="28">
        <f t="shared" si="311"/>
        <v>0</v>
      </c>
      <c r="AE167" s="28">
        <f t="shared" si="311"/>
        <v>0</v>
      </c>
      <c r="AF167" s="28">
        <f t="shared" si="311"/>
        <v>0</v>
      </c>
      <c r="AG167" s="28">
        <f t="shared" si="311"/>
        <v>0</v>
      </c>
      <c r="AH167" s="28">
        <f t="shared" si="311"/>
        <v>0</v>
      </c>
      <c r="AI167" s="28">
        <f t="shared" si="311"/>
        <v>0</v>
      </c>
      <c r="AJ167" s="28">
        <f t="shared" si="311"/>
        <v>0</v>
      </c>
      <c r="AK167" s="28">
        <f t="shared" si="311"/>
        <v>0</v>
      </c>
      <c r="AL167" s="28">
        <f t="shared" si="311"/>
        <v>0</v>
      </c>
      <c r="AM167" s="29">
        <f t="shared" si="311"/>
        <v>0</v>
      </c>
      <c r="AN167" s="29">
        <f t="shared" si="311"/>
        <v>0</v>
      </c>
      <c r="AO167" s="29">
        <f t="shared" si="311"/>
        <v>0</v>
      </c>
      <c r="AP167" s="30">
        <f t="shared" ref="AP167:AQ167" si="312">IF(AM167=0,0,AN167/AM167)</f>
        <v>0</v>
      </c>
      <c r="AQ167" s="30">
        <f t="shared" si="312"/>
        <v>0</v>
      </c>
    </row>
    <row r="168" ht="15.75" customHeight="1"/>
    <row r="169" ht="27.75" customHeight="1">
      <c r="A169" s="9" t="s">
        <v>38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5"/>
    </row>
    <row r="170" ht="15.75" customHeight="1">
      <c r="A170" s="10">
        <v>46174.0</v>
      </c>
      <c r="B170" s="11" t="s">
        <v>26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7">
        <f t="shared" ref="AM170:AO170" si="313">C170+F170+I170+L170+O170+R170+U170+X170+AA170+AD170+AG170+AJ170</f>
        <v>0</v>
      </c>
      <c r="AN170" s="17">
        <f t="shared" si="313"/>
        <v>0</v>
      </c>
      <c r="AO170" s="17">
        <f t="shared" si="313"/>
        <v>0</v>
      </c>
      <c r="AP170" s="18">
        <f t="shared" ref="AP170:AQ170" si="314">IF(AM170=0,0,AN170/AM170)</f>
        <v>0</v>
      </c>
      <c r="AQ170" s="18">
        <f t="shared" si="314"/>
        <v>0</v>
      </c>
    </row>
    <row r="171" ht="15.75" customHeight="1">
      <c r="A171" s="10">
        <v>46175.0</v>
      </c>
      <c r="B171" s="11" t="s">
        <v>27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7">
        <f t="shared" ref="AM171:AO171" si="315">C171+F171+I171+L171+O171+R171+U171+X171+AA171+AD171+AG171+AJ171</f>
        <v>0</v>
      </c>
      <c r="AN171" s="17">
        <f t="shared" si="315"/>
        <v>0</v>
      </c>
      <c r="AO171" s="17">
        <f t="shared" si="315"/>
        <v>0</v>
      </c>
      <c r="AP171" s="18">
        <f t="shared" ref="AP171:AQ171" si="316">IF(AM171=0,0,AN171/AM171)</f>
        <v>0</v>
      </c>
      <c r="AQ171" s="18">
        <f t="shared" si="316"/>
        <v>0</v>
      </c>
    </row>
    <row r="172" ht="15.75" customHeight="1">
      <c r="A172" s="10">
        <v>46176.0</v>
      </c>
      <c r="B172" s="11" t="s">
        <v>28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7">
        <f t="shared" ref="AM172:AO172" si="317">C172+F172+I172+L172+O172+R172+U172+X172+AA172+AD172+AG172+AJ172</f>
        <v>0</v>
      </c>
      <c r="AN172" s="17">
        <f t="shared" si="317"/>
        <v>0</v>
      </c>
      <c r="AO172" s="17">
        <f t="shared" si="317"/>
        <v>0</v>
      </c>
      <c r="AP172" s="18">
        <f t="shared" ref="AP172:AQ172" si="318">IF(AM172=0,0,AN172/AM172)</f>
        <v>0</v>
      </c>
      <c r="AQ172" s="18">
        <f t="shared" si="318"/>
        <v>0</v>
      </c>
    </row>
    <row r="173" ht="15.75" customHeight="1">
      <c r="A173" s="10">
        <v>46177.0</v>
      </c>
      <c r="B173" s="11" t="s">
        <v>22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7">
        <f t="shared" ref="AM173:AO173" si="319">C173+F173+I173+L173+O173+R173+U173+X173+AA173+AD173+AG173+AJ173</f>
        <v>0</v>
      </c>
      <c r="AN173" s="17">
        <f t="shared" si="319"/>
        <v>0</v>
      </c>
      <c r="AO173" s="17">
        <f t="shared" si="319"/>
        <v>0</v>
      </c>
      <c r="AP173" s="18">
        <f t="shared" ref="AP173:AQ173" si="320">IF(AM173=0,0,AN173/AM173)</f>
        <v>0</v>
      </c>
      <c r="AQ173" s="18">
        <f t="shared" si="320"/>
        <v>0</v>
      </c>
    </row>
    <row r="174" ht="15.75" customHeight="1">
      <c r="A174" s="10">
        <v>46178.0</v>
      </c>
      <c r="B174" s="11" t="s">
        <v>23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7">
        <f t="shared" ref="AM174:AO174" si="321">C174+F174+I174+L174+O174+R174+U174+X174+AA174+AD174+AG174+AJ174</f>
        <v>0</v>
      </c>
      <c r="AN174" s="17">
        <f t="shared" si="321"/>
        <v>0</v>
      </c>
      <c r="AO174" s="17">
        <f t="shared" si="321"/>
        <v>0</v>
      </c>
      <c r="AP174" s="18">
        <f t="shared" ref="AP174:AQ174" si="322">IF(AM174=0,0,AN174/AM174)</f>
        <v>0</v>
      </c>
      <c r="AQ174" s="18">
        <f t="shared" si="322"/>
        <v>0</v>
      </c>
    </row>
    <row r="175" ht="15.75" customHeight="1">
      <c r="A175" s="10">
        <v>46179.0</v>
      </c>
      <c r="B175" s="11" t="s">
        <v>24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7">
        <f t="shared" ref="AM175:AO175" si="323">C175+F175+I175+L175+O175+R175+U175+X175+AA175+AD175+AG175+AJ175</f>
        <v>0</v>
      </c>
      <c r="AN175" s="17">
        <f t="shared" si="323"/>
        <v>0</v>
      </c>
      <c r="AO175" s="17">
        <f t="shared" si="323"/>
        <v>0</v>
      </c>
      <c r="AP175" s="18">
        <f t="shared" ref="AP175:AQ175" si="324">IF(AM175=0,0,AN175/AM175)</f>
        <v>0</v>
      </c>
      <c r="AQ175" s="18">
        <f t="shared" si="324"/>
        <v>0</v>
      </c>
    </row>
    <row r="176" ht="15.75" customHeight="1">
      <c r="A176" s="10">
        <v>46180.0</v>
      </c>
      <c r="B176" s="11" t="s">
        <v>25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7">
        <f t="shared" ref="AM176:AO176" si="325">C176+F176+I176+L176+O176+R176+U176+X176+AA176+AD176+AG176+AJ176</f>
        <v>0</v>
      </c>
      <c r="AN176" s="17">
        <f t="shared" si="325"/>
        <v>0</v>
      </c>
      <c r="AO176" s="17">
        <f t="shared" si="325"/>
        <v>0</v>
      </c>
      <c r="AP176" s="18">
        <f t="shared" ref="AP176:AQ176" si="326">IF(AM176=0,0,AN176/AM176)</f>
        <v>0</v>
      </c>
      <c r="AQ176" s="18">
        <f t="shared" si="326"/>
        <v>0</v>
      </c>
    </row>
    <row r="177" ht="15.75" customHeight="1">
      <c r="A177" s="10">
        <v>46181.0</v>
      </c>
      <c r="B177" s="11" t="s">
        <v>26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7">
        <f t="shared" ref="AM177:AO177" si="327">C177+F177+I177+L177+O177+R177+U177+X177+AA177+AD177+AG177+AJ177</f>
        <v>0</v>
      </c>
      <c r="AN177" s="17">
        <f t="shared" si="327"/>
        <v>0</v>
      </c>
      <c r="AO177" s="17">
        <f t="shared" si="327"/>
        <v>0</v>
      </c>
      <c r="AP177" s="18">
        <f t="shared" ref="AP177:AQ177" si="328">IF(AM177=0,0,AN177/AM177)</f>
        <v>0</v>
      </c>
      <c r="AQ177" s="18">
        <f t="shared" si="328"/>
        <v>0</v>
      </c>
    </row>
    <row r="178" ht="15.75" customHeight="1">
      <c r="A178" s="10">
        <v>46182.0</v>
      </c>
      <c r="B178" s="11" t="s">
        <v>27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7">
        <f t="shared" ref="AM178:AO178" si="329">C178+F178+I178+L178+O178+R178+U178+X178+AA178+AD178+AG178+AJ178</f>
        <v>0</v>
      </c>
      <c r="AN178" s="17">
        <f t="shared" si="329"/>
        <v>0</v>
      </c>
      <c r="AO178" s="17">
        <f t="shared" si="329"/>
        <v>0</v>
      </c>
      <c r="AP178" s="18">
        <f t="shared" ref="AP178:AQ178" si="330">IF(AM178=0,0,AN178/AM178)</f>
        <v>0</v>
      </c>
      <c r="AQ178" s="18">
        <f t="shared" si="330"/>
        <v>0</v>
      </c>
    </row>
    <row r="179" ht="15.75" customHeight="1">
      <c r="A179" s="10">
        <v>46183.0</v>
      </c>
      <c r="B179" s="11" t="s">
        <v>28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7">
        <f t="shared" ref="AM179:AO179" si="331">C179+F179+I179+L179+O179+R179+U179+X179+AA179+AD179+AG179+AJ179</f>
        <v>0</v>
      </c>
      <c r="AN179" s="17">
        <f t="shared" si="331"/>
        <v>0</v>
      </c>
      <c r="AO179" s="17">
        <f t="shared" si="331"/>
        <v>0</v>
      </c>
      <c r="AP179" s="18">
        <f t="shared" ref="AP179:AQ179" si="332">IF(AM179=0,0,AN179/AM179)</f>
        <v>0</v>
      </c>
      <c r="AQ179" s="18">
        <f t="shared" si="332"/>
        <v>0</v>
      </c>
    </row>
    <row r="180" ht="15.75" customHeight="1">
      <c r="A180" s="10">
        <v>46184.0</v>
      </c>
      <c r="B180" s="11" t="s">
        <v>22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7">
        <f t="shared" ref="AM180:AO180" si="333">C180+F180+I180+L180+O180+R180+U180+X180+AA180+AD180+AG180+AJ180</f>
        <v>0</v>
      </c>
      <c r="AN180" s="17">
        <f t="shared" si="333"/>
        <v>0</v>
      </c>
      <c r="AO180" s="17">
        <f t="shared" si="333"/>
        <v>0</v>
      </c>
      <c r="AP180" s="18">
        <f t="shared" ref="AP180:AQ180" si="334">IF(AM180=0,0,AN180/AM180)</f>
        <v>0</v>
      </c>
      <c r="AQ180" s="18">
        <f t="shared" si="334"/>
        <v>0</v>
      </c>
    </row>
    <row r="181" ht="15.75" customHeight="1">
      <c r="A181" s="10">
        <v>46185.0</v>
      </c>
      <c r="B181" s="11" t="s">
        <v>23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7">
        <f t="shared" ref="AM181:AO181" si="335">C181+F181+I181+L181+O181+R181+U181+X181+AA181+AD181+AG181+AJ181</f>
        <v>0</v>
      </c>
      <c r="AN181" s="17">
        <f t="shared" si="335"/>
        <v>0</v>
      </c>
      <c r="AO181" s="17">
        <f t="shared" si="335"/>
        <v>0</v>
      </c>
      <c r="AP181" s="18">
        <f t="shared" ref="AP181:AQ181" si="336">IF(AM181=0,0,AN181/AM181)</f>
        <v>0</v>
      </c>
      <c r="AQ181" s="18">
        <f t="shared" si="336"/>
        <v>0</v>
      </c>
    </row>
    <row r="182" ht="15.75" customHeight="1">
      <c r="A182" s="10">
        <v>46186.0</v>
      </c>
      <c r="B182" s="11" t="s">
        <v>24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7">
        <f t="shared" ref="AM182:AO182" si="337">C182+F182+I182+L182+O182+R182+U182+X182+AA182+AD182+AG182+AJ182</f>
        <v>0</v>
      </c>
      <c r="AN182" s="17">
        <f t="shared" si="337"/>
        <v>0</v>
      </c>
      <c r="AO182" s="17">
        <f t="shared" si="337"/>
        <v>0</v>
      </c>
      <c r="AP182" s="18">
        <f t="shared" ref="AP182:AQ182" si="338">IF(AM182=0,0,AN182/AM182)</f>
        <v>0</v>
      </c>
      <c r="AQ182" s="18">
        <f t="shared" si="338"/>
        <v>0</v>
      </c>
    </row>
    <row r="183" ht="15.75" customHeight="1">
      <c r="A183" s="10">
        <v>46187.0</v>
      </c>
      <c r="B183" s="11" t="s">
        <v>25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7">
        <f t="shared" ref="AM183:AO183" si="339">C183+F183+I183+L183+O183+R183+U183+X183+AA183+AD183+AG183+AJ183</f>
        <v>0</v>
      </c>
      <c r="AN183" s="17">
        <f t="shared" si="339"/>
        <v>0</v>
      </c>
      <c r="AO183" s="17">
        <f t="shared" si="339"/>
        <v>0</v>
      </c>
      <c r="AP183" s="18">
        <f t="shared" ref="AP183:AQ183" si="340">IF(AM183=0,0,AN183/AM183)</f>
        <v>0</v>
      </c>
      <c r="AQ183" s="18">
        <f t="shared" si="340"/>
        <v>0</v>
      </c>
    </row>
    <row r="184" ht="15.75" customHeight="1">
      <c r="A184" s="10">
        <v>46188.0</v>
      </c>
      <c r="B184" s="11" t="s">
        <v>26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7">
        <f t="shared" ref="AM184:AO184" si="341">C184+F184+I184+L184+O184+R184+U184+X184+AA184+AD184+AG184+AJ184</f>
        <v>0</v>
      </c>
      <c r="AN184" s="17">
        <f t="shared" si="341"/>
        <v>0</v>
      </c>
      <c r="AO184" s="17">
        <f t="shared" si="341"/>
        <v>0</v>
      </c>
      <c r="AP184" s="18">
        <f t="shared" ref="AP184:AQ184" si="342">IF(AM184=0,0,AN184/AM184)</f>
        <v>0</v>
      </c>
      <c r="AQ184" s="18">
        <f t="shared" si="342"/>
        <v>0</v>
      </c>
    </row>
    <row r="185" ht="15.75" customHeight="1">
      <c r="A185" s="10">
        <v>46189.0</v>
      </c>
      <c r="B185" s="11" t="s">
        <v>27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7">
        <f t="shared" ref="AM185:AO185" si="343">C185+F185+I185+L185+O185+R185+U185+X185+AA185+AD185+AG185+AJ185</f>
        <v>0</v>
      </c>
      <c r="AN185" s="17">
        <f t="shared" si="343"/>
        <v>0</v>
      </c>
      <c r="AO185" s="17">
        <f t="shared" si="343"/>
        <v>0</v>
      </c>
      <c r="AP185" s="18">
        <f t="shared" ref="AP185:AQ185" si="344">IF(AM185=0,0,AN185/AM185)</f>
        <v>0</v>
      </c>
      <c r="AQ185" s="18">
        <f t="shared" si="344"/>
        <v>0</v>
      </c>
    </row>
    <row r="186" ht="15.75" customHeight="1">
      <c r="A186" s="10">
        <v>46190.0</v>
      </c>
      <c r="B186" s="11" t="s">
        <v>28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7">
        <f t="shared" ref="AM186:AO186" si="345">C186+F186+I186+L186+O186+R186+U186+X186+AA186+AD186+AG186+AJ186</f>
        <v>0</v>
      </c>
      <c r="AN186" s="17">
        <f t="shared" si="345"/>
        <v>0</v>
      </c>
      <c r="AO186" s="17">
        <f t="shared" si="345"/>
        <v>0</v>
      </c>
      <c r="AP186" s="18">
        <f t="shared" ref="AP186:AQ186" si="346">IF(AM186=0,0,AN186/AM186)</f>
        <v>0</v>
      </c>
      <c r="AQ186" s="18">
        <f t="shared" si="346"/>
        <v>0</v>
      </c>
    </row>
    <row r="187" ht="15.75" customHeight="1">
      <c r="A187" s="10">
        <v>46191.0</v>
      </c>
      <c r="B187" s="11" t="s">
        <v>22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7">
        <f t="shared" ref="AM187:AO187" si="347">C187+F187+I187+L187+O187+R187+U187+X187+AA187+AD187+AG187+AJ187</f>
        <v>0</v>
      </c>
      <c r="AN187" s="17">
        <f t="shared" si="347"/>
        <v>0</v>
      </c>
      <c r="AO187" s="17">
        <f t="shared" si="347"/>
        <v>0</v>
      </c>
      <c r="AP187" s="18">
        <f t="shared" ref="AP187:AQ187" si="348">IF(AM187=0,0,AN187/AM187)</f>
        <v>0</v>
      </c>
      <c r="AQ187" s="18">
        <f t="shared" si="348"/>
        <v>0</v>
      </c>
    </row>
    <row r="188" ht="15.75" customHeight="1">
      <c r="A188" s="10">
        <v>46192.0</v>
      </c>
      <c r="B188" s="11" t="s">
        <v>23</v>
      </c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7">
        <f t="shared" ref="AM188:AO188" si="349">C188+F188+I188+L188+O188+R188+U188+X188+AA188+AD188+AG188+AJ188</f>
        <v>0</v>
      </c>
      <c r="AN188" s="17">
        <f t="shared" si="349"/>
        <v>0</v>
      </c>
      <c r="AO188" s="17">
        <f t="shared" si="349"/>
        <v>0</v>
      </c>
      <c r="AP188" s="18">
        <f t="shared" ref="AP188:AQ188" si="350">IF(AM188=0,0,AN188/AM188)</f>
        <v>0</v>
      </c>
      <c r="AQ188" s="18">
        <f t="shared" si="350"/>
        <v>0</v>
      </c>
    </row>
    <row r="189" ht="15.75" customHeight="1">
      <c r="A189" s="10">
        <v>46193.0</v>
      </c>
      <c r="B189" s="11" t="s">
        <v>24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7">
        <f t="shared" ref="AM189:AO189" si="351">C189+F189+I189+L189+O189+R189+U189+X189+AA189+AD189+AG189+AJ189</f>
        <v>0</v>
      </c>
      <c r="AN189" s="17">
        <f t="shared" si="351"/>
        <v>0</v>
      </c>
      <c r="AO189" s="17">
        <f t="shared" si="351"/>
        <v>0</v>
      </c>
      <c r="AP189" s="18">
        <f t="shared" ref="AP189:AQ189" si="352">IF(AM189=0,0,AN189/AM189)</f>
        <v>0</v>
      </c>
      <c r="AQ189" s="18">
        <f t="shared" si="352"/>
        <v>0</v>
      </c>
    </row>
    <row r="190" ht="15.75" customHeight="1">
      <c r="A190" s="10">
        <v>46194.0</v>
      </c>
      <c r="B190" s="11" t="s">
        <v>25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7">
        <f t="shared" ref="AM190:AO190" si="353">C190+F190+I190+L190+O190+R190+U190+X190+AA190+AD190+AG190+AJ190</f>
        <v>0</v>
      </c>
      <c r="AN190" s="17">
        <f t="shared" si="353"/>
        <v>0</v>
      </c>
      <c r="AO190" s="17">
        <f t="shared" si="353"/>
        <v>0</v>
      </c>
      <c r="AP190" s="18">
        <f t="shared" ref="AP190:AQ190" si="354">IF(AM190=0,0,AN190/AM190)</f>
        <v>0</v>
      </c>
      <c r="AQ190" s="18">
        <f t="shared" si="354"/>
        <v>0</v>
      </c>
    </row>
    <row r="191" ht="15.75" customHeight="1">
      <c r="A191" s="10">
        <v>46195.0</v>
      </c>
      <c r="B191" s="11" t="s">
        <v>26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7">
        <f t="shared" ref="AM191:AO191" si="355">C191+F191+I191+L191+O191+R191+U191+X191+AA191+AD191+AG191+AJ191</f>
        <v>0</v>
      </c>
      <c r="AN191" s="17">
        <f t="shared" si="355"/>
        <v>0</v>
      </c>
      <c r="AO191" s="17">
        <f t="shared" si="355"/>
        <v>0</v>
      </c>
      <c r="AP191" s="18">
        <f t="shared" ref="AP191:AQ191" si="356">IF(AM191=0,0,AN191/AM191)</f>
        <v>0</v>
      </c>
      <c r="AQ191" s="18">
        <f t="shared" si="356"/>
        <v>0</v>
      </c>
    </row>
    <row r="192" ht="15.75" customHeight="1">
      <c r="A192" s="10">
        <v>46196.0</v>
      </c>
      <c r="B192" s="11" t="s">
        <v>27</v>
      </c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7">
        <f t="shared" ref="AM192:AO192" si="357">C192+F192+I192+L192+O192+R192+U192+X192+AA192+AD192+AG192+AJ192</f>
        <v>0</v>
      </c>
      <c r="AN192" s="17">
        <f t="shared" si="357"/>
        <v>0</v>
      </c>
      <c r="AO192" s="17">
        <f t="shared" si="357"/>
        <v>0</v>
      </c>
      <c r="AP192" s="18">
        <f t="shared" ref="AP192:AQ192" si="358">IF(AM192=0,0,AN192/AM192)</f>
        <v>0</v>
      </c>
      <c r="AQ192" s="18">
        <f t="shared" si="358"/>
        <v>0</v>
      </c>
    </row>
    <row r="193" ht="15.75" customHeight="1">
      <c r="A193" s="10">
        <v>46197.0</v>
      </c>
      <c r="B193" s="11" t="s">
        <v>28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7">
        <f t="shared" ref="AM193:AO193" si="359">C193+F193+I193+L193+O193+R193+U193+X193+AA193+AD193+AG193+AJ193</f>
        <v>0</v>
      </c>
      <c r="AN193" s="17">
        <f t="shared" si="359"/>
        <v>0</v>
      </c>
      <c r="AO193" s="17">
        <f t="shared" si="359"/>
        <v>0</v>
      </c>
      <c r="AP193" s="18">
        <f t="shared" ref="AP193:AQ193" si="360">IF(AM193=0,0,AN193/AM193)</f>
        <v>0</v>
      </c>
      <c r="AQ193" s="18">
        <f t="shared" si="360"/>
        <v>0</v>
      </c>
    </row>
    <row r="194" ht="15.75" customHeight="1">
      <c r="A194" s="10">
        <v>46198.0</v>
      </c>
      <c r="B194" s="11" t="s">
        <v>22</v>
      </c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7">
        <f t="shared" ref="AM194:AO194" si="361">C194+F194+I194+L194+O194+R194+U194+X194+AA194+AD194+AG194+AJ194</f>
        <v>0</v>
      </c>
      <c r="AN194" s="17">
        <f t="shared" si="361"/>
        <v>0</v>
      </c>
      <c r="AO194" s="17">
        <f t="shared" si="361"/>
        <v>0</v>
      </c>
      <c r="AP194" s="18">
        <f t="shared" ref="AP194:AQ194" si="362">IF(AM194=0,0,AN194/AM194)</f>
        <v>0</v>
      </c>
      <c r="AQ194" s="18">
        <f t="shared" si="362"/>
        <v>0</v>
      </c>
    </row>
    <row r="195" ht="15.75" customHeight="1">
      <c r="A195" s="10">
        <v>46199.0</v>
      </c>
      <c r="B195" s="11" t="s">
        <v>23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7">
        <f t="shared" ref="AM195:AO195" si="363">C195+F195+I195+L195+O195+R195+U195+X195+AA195+AD195+AG195+AJ195</f>
        <v>0</v>
      </c>
      <c r="AN195" s="17">
        <f t="shared" si="363"/>
        <v>0</v>
      </c>
      <c r="AO195" s="17">
        <f t="shared" si="363"/>
        <v>0</v>
      </c>
      <c r="AP195" s="18">
        <f t="shared" ref="AP195:AQ195" si="364">IF(AM195=0,0,AN195/AM195)</f>
        <v>0</v>
      </c>
      <c r="AQ195" s="18">
        <f t="shared" si="364"/>
        <v>0</v>
      </c>
    </row>
    <row r="196" ht="15.75" customHeight="1">
      <c r="A196" s="10">
        <v>46200.0</v>
      </c>
      <c r="B196" s="11" t="s">
        <v>24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7">
        <f t="shared" ref="AM196:AO196" si="365">C196+F196+I196+L196+O196+R196+U196+X196+AA196+AD196+AG196+AJ196</f>
        <v>0</v>
      </c>
      <c r="AN196" s="17">
        <f t="shared" si="365"/>
        <v>0</v>
      </c>
      <c r="AO196" s="17">
        <f t="shared" si="365"/>
        <v>0</v>
      </c>
      <c r="AP196" s="18">
        <f t="shared" ref="AP196:AQ196" si="366">IF(AM196=0,0,AN196/AM196)</f>
        <v>0</v>
      </c>
      <c r="AQ196" s="18">
        <f t="shared" si="366"/>
        <v>0</v>
      </c>
    </row>
    <row r="197" ht="15.75" customHeight="1">
      <c r="A197" s="10">
        <v>46201.0</v>
      </c>
      <c r="B197" s="11" t="s">
        <v>25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7">
        <f t="shared" ref="AM197:AO197" si="367">C197+F197+I197+L197+O197+R197+U197+X197+AA197+AD197+AG197+AJ197</f>
        <v>0</v>
      </c>
      <c r="AN197" s="17">
        <f t="shared" si="367"/>
        <v>0</v>
      </c>
      <c r="AO197" s="17">
        <f t="shared" si="367"/>
        <v>0</v>
      </c>
      <c r="AP197" s="18">
        <f t="shared" ref="AP197:AQ197" si="368">IF(AM197=0,0,AN197/AM197)</f>
        <v>0</v>
      </c>
      <c r="AQ197" s="18">
        <f t="shared" si="368"/>
        <v>0</v>
      </c>
    </row>
    <row r="198" ht="15.75" customHeight="1">
      <c r="A198" s="10">
        <v>46202.0</v>
      </c>
      <c r="B198" s="11" t="s">
        <v>26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7">
        <f t="shared" ref="AM198:AO198" si="369">C198+F198+I198+L198+O198+R198+U198+X198+AA198+AD198+AG198+AJ198</f>
        <v>0</v>
      </c>
      <c r="AN198" s="17">
        <f t="shared" si="369"/>
        <v>0</v>
      </c>
      <c r="AO198" s="17">
        <f t="shared" si="369"/>
        <v>0</v>
      </c>
      <c r="AP198" s="18">
        <f t="shared" ref="AP198:AQ198" si="370">IF(AM198=0,0,AN198/AM198)</f>
        <v>0</v>
      </c>
      <c r="AQ198" s="18">
        <f t="shared" si="370"/>
        <v>0</v>
      </c>
    </row>
    <row r="199" ht="15.75" customHeight="1">
      <c r="A199" s="10">
        <v>46203.0</v>
      </c>
      <c r="B199" s="11" t="s">
        <v>27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7">
        <f t="shared" ref="AM199:AO199" si="371">C199+F199+I199+L199+O199+R199+U199+X199+AA199+AD199+AG199+AJ199</f>
        <v>0</v>
      </c>
      <c r="AN199" s="17">
        <f t="shared" si="371"/>
        <v>0</v>
      </c>
      <c r="AO199" s="17">
        <f t="shared" si="371"/>
        <v>0</v>
      </c>
      <c r="AP199" s="18">
        <f t="shared" ref="AP199:AQ199" si="372">IF(AM199=0,0,AN199/AM199)</f>
        <v>0</v>
      </c>
      <c r="AQ199" s="18">
        <f t="shared" si="372"/>
        <v>0</v>
      </c>
    </row>
    <row r="200" ht="15.75" customHeight="1">
      <c r="A200" s="26" t="s">
        <v>39</v>
      </c>
      <c r="B200" s="27"/>
      <c r="C200" s="28">
        <f t="shared" ref="C200:AO200" si="373">SUM(C170:C199)</f>
        <v>0</v>
      </c>
      <c r="D200" s="28">
        <f t="shared" si="373"/>
        <v>0</v>
      </c>
      <c r="E200" s="28">
        <f t="shared" si="373"/>
        <v>0</v>
      </c>
      <c r="F200" s="28">
        <f t="shared" si="373"/>
        <v>0</v>
      </c>
      <c r="G200" s="28">
        <f t="shared" si="373"/>
        <v>0</v>
      </c>
      <c r="H200" s="28">
        <f t="shared" si="373"/>
        <v>0</v>
      </c>
      <c r="I200" s="28">
        <f t="shared" si="373"/>
        <v>0</v>
      </c>
      <c r="J200" s="28">
        <f t="shared" si="373"/>
        <v>0</v>
      </c>
      <c r="K200" s="28">
        <f t="shared" si="373"/>
        <v>0</v>
      </c>
      <c r="L200" s="28">
        <f t="shared" si="373"/>
        <v>0</v>
      </c>
      <c r="M200" s="28">
        <f t="shared" si="373"/>
        <v>0</v>
      </c>
      <c r="N200" s="28">
        <f t="shared" si="373"/>
        <v>0</v>
      </c>
      <c r="O200" s="28">
        <f t="shared" si="373"/>
        <v>0</v>
      </c>
      <c r="P200" s="28">
        <f t="shared" si="373"/>
        <v>0</v>
      </c>
      <c r="Q200" s="28">
        <f t="shared" si="373"/>
        <v>0</v>
      </c>
      <c r="R200" s="28">
        <f t="shared" si="373"/>
        <v>0</v>
      </c>
      <c r="S200" s="28">
        <f t="shared" si="373"/>
        <v>0</v>
      </c>
      <c r="T200" s="28">
        <f t="shared" si="373"/>
        <v>0</v>
      </c>
      <c r="U200" s="28">
        <f t="shared" si="373"/>
        <v>0</v>
      </c>
      <c r="V200" s="28">
        <f t="shared" si="373"/>
        <v>0</v>
      </c>
      <c r="W200" s="28">
        <f t="shared" si="373"/>
        <v>0</v>
      </c>
      <c r="X200" s="28">
        <f t="shared" si="373"/>
        <v>0</v>
      </c>
      <c r="Y200" s="28">
        <f t="shared" si="373"/>
        <v>0</v>
      </c>
      <c r="Z200" s="28">
        <f t="shared" si="373"/>
        <v>0</v>
      </c>
      <c r="AA200" s="28">
        <f t="shared" si="373"/>
        <v>0</v>
      </c>
      <c r="AB200" s="28">
        <f t="shared" si="373"/>
        <v>0</v>
      </c>
      <c r="AC200" s="28">
        <f t="shared" si="373"/>
        <v>0</v>
      </c>
      <c r="AD200" s="28">
        <f t="shared" si="373"/>
        <v>0</v>
      </c>
      <c r="AE200" s="28">
        <f t="shared" si="373"/>
        <v>0</v>
      </c>
      <c r="AF200" s="28">
        <f t="shared" si="373"/>
        <v>0</v>
      </c>
      <c r="AG200" s="28">
        <f t="shared" si="373"/>
        <v>0</v>
      </c>
      <c r="AH200" s="28">
        <f t="shared" si="373"/>
        <v>0</v>
      </c>
      <c r="AI200" s="28">
        <f t="shared" si="373"/>
        <v>0</v>
      </c>
      <c r="AJ200" s="28">
        <f t="shared" si="373"/>
        <v>0</v>
      </c>
      <c r="AK200" s="28">
        <f t="shared" si="373"/>
        <v>0</v>
      </c>
      <c r="AL200" s="28">
        <f t="shared" si="373"/>
        <v>0</v>
      </c>
      <c r="AM200" s="29">
        <f t="shared" si="373"/>
        <v>0</v>
      </c>
      <c r="AN200" s="29">
        <f t="shared" si="373"/>
        <v>0</v>
      </c>
      <c r="AO200" s="29">
        <f t="shared" si="373"/>
        <v>0</v>
      </c>
      <c r="AP200" s="30">
        <f t="shared" ref="AP200:AQ200" si="374">IF(AM200=0,0,AN200/AM200)</f>
        <v>0</v>
      </c>
      <c r="AQ200" s="30">
        <f t="shared" si="374"/>
        <v>0</v>
      </c>
    </row>
    <row r="201" ht="15.75" customHeight="1"/>
    <row r="202" ht="27.75" customHeight="1">
      <c r="A202" s="9" t="s">
        <v>40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5"/>
    </row>
    <row r="203" ht="15.75" customHeight="1">
      <c r="A203" s="10">
        <v>46204.0</v>
      </c>
      <c r="B203" s="11" t="s">
        <v>28</v>
      </c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7">
        <f t="shared" ref="AM203:AO203" si="375">C203+F203+I203+L203+O203+R203+U203+X203+AA203+AD203+AG203+AJ203</f>
        <v>0</v>
      </c>
      <c r="AN203" s="17">
        <f t="shared" si="375"/>
        <v>0</v>
      </c>
      <c r="AO203" s="17">
        <f t="shared" si="375"/>
        <v>0</v>
      </c>
      <c r="AP203" s="18">
        <f t="shared" ref="AP203:AQ203" si="376">IF(AM203=0,0,AN203/AM203)</f>
        <v>0</v>
      </c>
      <c r="AQ203" s="18">
        <f t="shared" si="376"/>
        <v>0</v>
      </c>
    </row>
    <row r="204" ht="15.75" customHeight="1">
      <c r="A204" s="10">
        <v>46205.0</v>
      </c>
      <c r="B204" s="11" t="s">
        <v>22</v>
      </c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7">
        <f t="shared" ref="AM204:AO204" si="377">C204+F204+I204+L204+O204+R204+U204+X204+AA204+AD204+AG204+AJ204</f>
        <v>0</v>
      </c>
      <c r="AN204" s="17">
        <f t="shared" si="377"/>
        <v>0</v>
      </c>
      <c r="AO204" s="17">
        <f t="shared" si="377"/>
        <v>0</v>
      </c>
      <c r="AP204" s="18">
        <f t="shared" ref="AP204:AQ204" si="378">IF(AM204=0,0,AN204/AM204)</f>
        <v>0</v>
      </c>
      <c r="AQ204" s="18">
        <f t="shared" si="378"/>
        <v>0</v>
      </c>
    </row>
    <row r="205" ht="15.75" customHeight="1">
      <c r="A205" s="10">
        <v>46206.0</v>
      </c>
      <c r="B205" s="11" t="s">
        <v>23</v>
      </c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7">
        <f t="shared" ref="AM205:AO205" si="379">C205+F205+I205+L205+O205+R205+U205+X205+AA205+AD205+AG205+AJ205</f>
        <v>0</v>
      </c>
      <c r="AN205" s="17">
        <f t="shared" si="379"/>
        <v>0</v>
      </c>
      <c r="AO205" s="17">
        <f t="shared" si="379"/>
        <v>0</v>
      </c>
      <c r="AP205" s="18">
        <f t="shared" ref="AP205:AQ205" si="380">IF(AM205=0,0,AN205/AM205)</f>
        <v>0</v>
      </c>
      <c r="AQ205" s="18">
        <f t="shared" si="380"/>
        <v>0</v>
      </c>
    </row>
    <row r="206" ht="15.75" customHeight="1">
      <c r="A206" s="10">
        <v>46207.0</v>
      </c>
      <c r="B206" s="11" t="s">
        <v>24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7">
        <f t="shared" ref="AM206:AO206" si="381">C206+F206+I206+L206+O206+R206+U206+X206+AA206+AD206+AG206+AJ206</f>
        <v>0</v>
      </c>
      <c r="AN206" s="17">
        <f t="shared" si="381"/>
        <v>0</v>
      </c>
      <c r="AO206" s="17">
        <f t="shared" si="381"/>
        <v>0</v>
      </c>
      <c r="AP206" s="18">
        <f t="shared" ref="AP206:AQ206" si="382">IF(AM206=0,0,AN206/AM206)</f>
        <v>0</v>
      </c>
      <c r="AQ206" s="18">
        <f t="shared" si="382"/>
        <v>0</v>
      </c>
    </row>
    <row r="207" ht="15.75" customHeight="1">
      <c r="A207" s="10">
        <v>46208.0</v>
      </c>
      <c r="B207" s="11" t="s">
        <v>25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7">
        <f t="shared" ref="AM207:AO207" si="383">C207+F207+I207+L207+O207+R207+U207+X207+AA207+AD207+AG207+AJ207</f>
        <v>0</v>
      </c>
      <c r="AN207" s="17">
        <f t="shared" si="383"/>
        <v>0</v>
      </c>
      <c r="AO207" s="17">
        <f t="shared" si="383"/>
        <v>0</v>
      </c>
      <c r="AP207" s="18">
        <f t="shared" ref="AP207:AQ207" si="384">IF(AM207=0,0,AN207/AM207)</f>
        <v>0</v>
      </c>
      <c r="AQ207" s="18">
        <f t="shared" si="384"/>
        <v>0</v>
      </c>
    </row>
    <row r="208" ht="15.75" customHeight="1">
      <c r="A208" s="10">
        <v>46209.0</v>
      </c>
      <c r="B208" s="11" t="s">
        <v>26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7">
        <f t="shared" ref="AM208:AO208" si="385">C208+F208+I208+L208+O208+R208+U208+X208+AA208+AD208+AG208+AJ208</f>
        <v>0</v>
      </c>
      <c r="AN208" s="17">
        <f t="shared" si="385"/>
        <v>0</v>
      </c>
      <c r="AO208" s="17">
        <f t="shared" si="385"/>
        <v>0</v>
      </c>
      <c r="AP208" s="18">
        <f t="shared" ref="AP208:AQ208" si="386">IF(AM208=0,0,AN208/AM208)</f>
        <v>0</v>
      </c>
      <c r="AQ208" s="18">
        <f t="shared" si="386"/>
        <v>0</v>
      </c>
    </row>
    <row r="209" ht="15.75" customHeight="1">
      <c r="A209" s="10">
        <v>46210.0</v>
      </c>
      <c r="B209" s="11" t="s">
        <v>27</v>
      </c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7">
        <f t="shared" ref="AM209:AO209" si="387">C209+F209+I209+L209+O209+R209+U209+X209+AA209+AD209+AG209+AJ209</f>
        <v>0</v>
      </c>
      <c r="AN209" s="17">
        <f t="shared" si="387"/>
        <v>0</v>
      </c>
      <c r="AO209" s="17">
        <f t="shared" si="387"/>
        <v>0</v>
      </c>
      <c r="AP209" s="18">
        <f t="shared" ref="AP209:AQ209" si="388">IF(AM209=0,0,AN209/AM209)</f>
        <v>0</v>
      </c>
      <c r="AQ209" s="18">
        <f t="shared" si="388"/>
        <v>0</v>
      </c>
    </row>
    <row r="210" ht="15.75" customHeight="1">
      <c r="A210" s="10">
        <v>46211.0</v>
      </c>
      <c r="B210" s="11" t="s">
        <v>28</v>
      </c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7">
        <f t="shared" ref="AM210:AO210" si="389">C210+F210+I210+L210+O210+R210+U210+X210+AA210+AD210+AG210+AJ210</f>
        <v>0</v>
      </c>
      <c r="AN210" s="17">
        <f t="shared" si="389"/>
        <v>0</v>
      </c>
      <c r="AO210" s="17">
        <f t="shared" si="389"/>
        <v>0</v>
      </c>
      <c r="AP210" s="18">
        <f t="shared" ref="AP210:AQ210" si="390">IF(AM210=0,0,AN210/AM210)</f>
        <v>0</v>
      </c>
      <c r="AQ210" s="18">
        <f t="shared" si="390"/>
        <v>0</v>
      </c>
    </row>
    <row r="211" ht="15.75" customHeight="1">
      <c r="A211" s="10">
        <v>46212.0</v>
      </c>
      <c r="B211" s="11" t="s">
        <v>22</v>
      </c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7">
        <f t="shared" ref="AM211:AO211" si="391">C211+F211+I211+L211+O211+R211+U211+X211+AA211+AD211+AG211+AJ211</f>
        <v>0</v>
      </c>
      <c r="AN211" s="17">
        <f t="shared" si="391"/>
        <v>0</v>
      </c>
      <c r="AO211" s="17">
        <f t="shared" si="391"/>
        <v>0</v>
      </c>
      <c r="AP211" s="18">
        <f t="shared" ref="AP211:AQ211" si="392">IF(AM211=0,0,AN211/AM211)</f>
        <v>0</v>
      </c>
      <c r="AQ211" s="18">
        <f t="shared" si="392"/>
        <v>0</v>
      </c>
    </row>
    <row r="212" ht="15.75" customHeight="1">
      <c r="A212" s="10">
        <v>46213.0</v>
      </c>
      <c r="B212" s="11" t="s">
        <v>23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7">
        <f t="shared" ref="AM212:AO212" si="393">C212+F212+I212+L212+O212+R212+U212+X212+AA212+AD212+AG212+AJ212</f>
        <v>0</v>
      </c>
      <c r="AN212" s="17">
        <f t="shared" si="393"/>
        <v>0</v>
      </c>
      <c r="AO212" s="17">
        <f t="shared" si="393"/>
        <v>0</v>
      </c>
      <c r="AP212" s="18">
        <f t="shared" ref="AP212:AQ212" si="394">IF(AM212=0,0,AN212/AM212)</f>
        <v>0</v>
      </c>
      <c r="AQ212" s="18">
        <f t="shared" si="394"/>
        <v>0</v>
      </c>
    </row>
    <row r="213" ht="15.75" customHeight="1">
      <c r="A213" s="10">
        <v>46214.0</v>
      </c>
      <c r="B213" s="11" t="s">
        <v>24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7">
        <f t="shared" ref="AM213:AO213" si="395">C213+F213+I213+L213+O213+R213+U213+X213+AA213+AD213+AG213+AJ213</f>
        <v>0</v>
      </c>
      <c r="AN213" s="17">
        <f t="shared" si="395"/>
        <v>0</v>
      </c>
      <c r="AO213" s="17">
        <f t="shared" si="395"/>
        <v>0</v>
      </c>
      <c r="AP213" s="18">
        <f t="shared" ref="AP213:AQ213" si="396">IF(AM213=0,0,AN213/AM213)</f>
        <v>0</v>
      </c>
      <c r="AQ213" s="18">
        <f t="shared" si="396"/>
        <v>0</v>
      </c>
    </row>
    <row r="214" ht="15.75" customHeight="1">
      <c r="A214" s="10">
        <v>46215.0</v>
      </c>
      <c r="B214" s="11" t="s">
        <v>25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7">
        <f t="shared" ref="AM214:AO214" si="397">C214+F214+I214+L214+O214+R214+U214+X214+AA214+AD214+AG214+AJ214</f>
        <v>0</v>
      </c>
      <c r="AN214" s="17">
        <f t="shared" si="397"/>
        <v>0</v>
      </c>
      <c r="AO214" s="17">
        <f t="shared" si="397"/>
        <v>0</v>
      </c>
      <c r="AP214" s="18">
        <f t="shared" ref="AP214:AQ214" si="398">IF(AM214=0,0,AN214/AM214)</f>
        <v>0</v>
      </c>
      <c r="AQ214" s="18">
        <f t="shared" si="398"/>
        <v>0</v>
      </c>
    </row>
    <row r="215" ht="15.75" customHeight="1">
      <c r="A215" s="10">
        <v>46216.0</v>
      </c>
      <c r="B215" s="11" t="s">
        <v>26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7">
        <f t="shared" ref="AM215:AO215" si="399">C215+F215+I215+L215+O215+R215+U215+X215+AA215+AD215+AG215+AJ215</f>
        <v>0</v>
      </c>
      <c r="AN215" s="17">
        <f t="shared" si="399"/>
        <v>0</v>
      </c>
      <c r="AO215" s="17">
        <f t="shared" si="399"/>
        <v>0</v>
      </c>
      <c r="AP215" s="18">
        <f t="shared" ref="AP215:AQ215" si="400">IF(AM215=0,0,AN215/AM215)</f>
        <v>0</v>
      </c>
      <c r="AQ215" s="18">
        <f t="shared" si="400"/>
        <v>0</v>
      </c>
    </row>
    <row r="216" ht="15.75" customHeight="1">
      <c r="A216" s="10">
        <v>46217.0</v>
      </c>
      <c r="B216" s="11" t="s">
        <v>27</v>
      </c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7">
        <f t="shared" ref="AM216:AO216" si="401">C216+F216+I216+L216+O216+R216+U216+X216+AA216+AD216+AG216+AJ216</f>
        <v>0</v>
      </c>
      <c r="AN216" s="17">
        <f t="shared" si="401"/>
        <v>0</v>
      </c>
      <c r="AO216" s="17">
        <f t="shared" si="401"/>
        <v>0</v>
      </c>
      <c r="AP216" s="18">
        <f t="shared" ref="AP216:AQ216" si="402">IF(AM216=0,0,AN216/AM216)</f>
        <v>0</v>
      </c>
      <c r="AQ216" s="18">
        <f t="shared" si="402"/>
        <v>0</v>
      </c>
    </row>
    <row r="217" ht="15.75" customHeight="1">
      <c r="A217" s="10">
        <v>46218.0</v>
      </c>
      <c r="B217" s="11" t="s">
        <v>28</v>
      </c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7">
        <f t="shared" ref="AM217:AO217" si="403">C217+F217+I217+L217+O217+R217+U217+X217+AA217+AD217+AG217+AJ217</f>
        <v>0</v>
      </c>
      <c r="AN217" s="17">
        <f t="shared" si="403"/>
        <v>0</v>
      </c>
      <c r="AO217" s="17">
        <f t="shared" si="403"/>
        <v>0</v>
      </c>
      <c r="AP217" s="18">
        <f t="shared" ref="AP217:AQ217" si="404">IF(AM217=0,0,AN217/AM217)</f>
        <v>0</v>
      </c>
      <c r="AQ217" s="18">
        <f t="shared" si="404"/>
        <v>0</v>
      </c>
    </row>
    <row r="218" ht="15.75" customHeight="1">
      <c r="A218" s="10">
        <v>46219.0</v>
      </c>
      <c r="B218" s="11" t="s">
        <v>22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7">
        <f t="shared" ref="AM218:AO218" si="405">C218+F218+I218+L218+O218+R218+U218+X218+AA218+AD218+AG218+AJ218</f>
        <v>0</v>
      </c>
      <c r="AN218" s="17">
        <f t="shared" si="405"/>
        <v>0</v>
      </c>
      <c r="AO218" s="17">
        <f t="shared" si="405"/>
        <v>0</v>
      </c>
      <c r="AP218" s="18">
        <f t="shared" ref="AP218:AQ218" si="406">IF(AM218=0,0,AN218/AM218)</f>
        <v>0</v>
      </c>
      <c r="AQ218" s="18">
        <f t="shared" si="406"/>
        <v>0</v>
      </c>
    </row>
    <row r="219" ht="15.75" customHeight="1">
      <c r="A219" s="10">
        <v>46220.0</v>
      </c>
      <c r="B219" s="11" t="s">
        <v>23</v>
      </c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7">
        <f t="shared" ref="AM219:AO219" si="407">C219+F219+I219+L219+O219+R219+U219+X219+AA219+AD219+AG219+AJ219</f>
        <v>0</v>
      </c>
      <c r="AN219" s="17">
        <f t="shared" si="407"/>
        <v>0</v>
      </c>
      <c r="AO219" s="17">
        <f t="shared" si="407"/>
        <v>0</v>
      </c>
      <c r="AP219" s="18">
        <f t="shared" ref="AP219:AQ219" si="408">IF(AM219=0,0,AN219/AM219)</f>
        <v>0</v>
      </c>
      <c r="AQ219" s="18">
        <f t="shared" si="408"/>
        <v>0</v>
      </c>
    </row>
    <row r="220" ht="15.75" customHeight="1">
      <c r="A220" s="10">
        <v>46221.0</v>
      </c>
      <c r="B220" s="11" t="s">
        <v>24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7">
        <f t="shared" ref="AM220:AO220" si="409">C220+F220+I220+L220+O220+R220+U220+X220+AA220+AD220+AG220+AJ220</f>
        <v>0</v>
      </c>
      <c r="AN220" s="17">
        <f t="shared" si="409"/>
        <v>0</v>
      </c>
      <c r="AO220" s="17">
        <f t="shared" si="409"/>
        <v>0</v>
      </c>
      <c r="AP220" s="18">
        <f t="shared" ref="AP220:AQ220" si="410">IF(AM220=0,0,AN220/AM220)</f>
        <v>0</v>
      </c>
      <c r="AQ220" s="18">
        <f t="shared" si="410"/>
        <v>0</v>
      </c>
    </row>
    <row r="221" ht="15.75" customHeight="1">
      <c r="A221" s="10">
        <v>46222.0</v>
      </c>
      <c r="B221" s="11" t="s">
        <v>25</v>
      </c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7">
        <f t="shared" ref="AM221:AO221" si="411">C221+F221+I221+L221+O221+R221+U221+X221+AA221+AD221+AG221+AJ221</f>
        <v>0</v>
      </c>
      <c r="AN221" s="17">
        <f t="shared" si="411"/>
        <v>0</v>
      </c>
      <c r="AO221" s="17">
        <f t="shared" si="411"/>
        <v>0</v>
      </c>
      <c r="AP221" s="18">
        <f t="shared" ref="AP221:AQ221" si="412">IF(AM221=0,0,AN221/AM221)</f>
        <v>0</v>
      </c>
      <c r="AQ221" s="18">
        <f t="shared" si="412"/>
        <v>0</v>
      </c>
    </row>
    <row r="222" ht="15.75" customHeight="1">
      <c r="A222" s="10">
        <v>46223.0</v>
      </c>
      <c r="B222" s="11" t="s">
        <v>26</v>
      </c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7">
        <f t="shared" ref="AM222:AO222" si="413">C222+F222+I222+L222+O222+R222+U222+X222+AA222+AD222+AG222+AJ222</f>
        <v>0</v>
      </c>
      <c r="AN222" s="17">
        <f t="shared" si="413"/>
        <v>0</v>
      </c>
      <c r="AO222" s="17">
        <f t="shared" si="413"/>
        <v>0</v>
      </c>
      <c r="AP222" s="18">
        <f t="shared" ref="AP222:AQ222" si="414">IF(AM222=0,0,AN222/AM222)</f>
        <v>0</v>
      </c>
      <c r="AQ222" s="18">
        <f t="shared" si="414"/>
        <v>0</v>
      </c>
    </row>
    <row r="223" ht="15.75" customHeight="1">
      <c r="A223" s="10">
        <v>46224.0</v>
      </c>
      <c r="B223" s="11" t="s">
        <v>27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7">
        <f t="shared" ref="AM223:AO223" si="415">C223+F223+I223+L223+O223+R223+U223+X223+AA223+AD223+AG223+AJ223</f>
        <v>0</v>
      </c>
      <c r="AN223" s="17">
        <f t="shared" si="415"/>
        <v>0</v>
      </c>
      <c r="AO223" s="17">
        <f t="shared" si="415"/>
        <v>0</v>
      </c>
      <c r="AP223" s="18">
        <f t="shared" ref="AP223:AQ223" si="416">IF(AM223=0,0,AN223/AM223)</f>
        <v>0</v>
      </c>
      <c r="AQ223" s="18">
        <f t="shared" si="416"/>
        <v>0</v>
      </c>
    </row>
    <row r="224" ht="15.75" customHeight="1">
      <c r="A224" s="10">
        <v>46225.0</v>
      </c>
      <c r="B224" s="11" t="s">
        <v>28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7">
        <f t="shared" ref="AM224:AO224" si="417">C224+F224+I224+L224+O224+R224+U224+X224+AA224+AD224+AG224+AJ224</f>
        <v>0</v>
      </c>
      <c r="AN224" s="17">
        <f t="shared" si="417"/>
        <v>0</v>
      </c>
      <c r="AO224" s="17">
        <f t="shared" si="417"/>
        <v>0</v>
      </c>
      <c r="AP224" s="18">
        <f t="shared" ref="AP224:AQ224" si="418">IF(AM224=0,0,AN224/AM224)</f>
        <v>0</v>
      </c>
      <c r="AQ224" s="18">
        <f t="shared" si="418"/>
        <v>0</v>
      </c>
    </row>
    <row r="225" ht="15.75" customHeight="1">
      <c r="A225" s="10">
        <v>46226.0</v>
      </c>
      <c r="B225" s="11" t="s">
        <v>22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7">
        <f t="shared" ref="AM225:AO225" si="419">C225+F225+I225+L225+O225+R225+U225+X225+AA225+AD225+AG225+AJ225</f>
        <v>0</v>
      </c>
      <c r="AN225" s="17">
        <f t="shared" si="419"/>
        <v>0</v>
      </c>
      <c r="AO225" s="17">
        <f t="shared" si="419"/>
        <v>0</v>
      </c>
      <c r="AP225" s="18">
        <f t="shared" ref="AP225:AQ225" si="420">IF(AM225=0,0,AN225/AM225)</f>
        <v>0</v>
      </c>
      <c r="AQ225" s="18">
        <f t="shared" si="420"/>
        <v>0</v>
      </c>
    </row>
    <row r="226" ht="15.75" customHeight="1">
      <c r="A226" s="10">
        <v>46227.0</v>
      </c>
      <c r="B226" s="11" t="s">
        <v>23</v>
      </c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7">
        <f t="shared" ref="AM226:AO226" si="421">C226+F226+I226+L226+O226+R226+U226+X226+AA226+AD226+AG226+AJ226</f>
        <v>0</v>
      </c>
      <c r="AN226" s="17">
        <f t="shared" si="421"/>
        <v>0</v>
      </c>
      <c r="AO226" s="17">
        <f t="shared" si="421"/>
        <v>0</v>
      </c>
      <c r="AP226" s="18">
        <f t="shared" ref="AP226:AQ226" si="422">IF(AM226=0,0,AN226/AM226)</f>
        <v>0</v>
      </c>
      <c r="AQ226" s="18">
        <f t="shared" si="422"/>
        <v>0</v>
      </c>
    </row>
    <row r="227" ht="15.75" customHeight="1">
      <c r="A227" s="10">
        <v>46228.0</v>
      </c>
      <c r="B227" s="11" t="s">
        <v>24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7">
        <f t="shared" ref="AM227:AO227" si="423">C227+F227+I227+L227+O227+R227+U227+X227+AA227+AD227+AG227+AJ227</f>
        <v>0</v>
      </c>
      <c r="AN227" s="17">
        <f t="shared" si="423"/>
        <v>0</v>
      </c>
      <c r="AO227" s="17">
        <f t="shared" si="423"/>
        <v>0</v>
      </c>
      <c r="AP227" s="18">
        <f t="shared" ref="AP227:AQ227" si="424">IF(AM227=0,0,AN227/AM227)</f>
        <v>0</v>
      </c>
      <c r="AQ227" s="18">
        <f t="shared" si="424"/>
        <v>0</v>
      </c>
    </row>
    <row r="228" ht="15.75" customHeight="1">
      <c r="A228" s="10">
        <v>46229.0</v>
      </c>
      <c r="B228" s="11" t="s">
        <v>25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7">
        <f t="shared" ref="AM228:AO228" si="425">C228+F228+I228+L228+O228+R228+U228+X228+AA228+AD228+AG228+AJ228</f>
        <v>0</v>
      </c>
      <c r="AN228" s="17">
        <f t="shared" si="425"/>
        <v>0</v>
      </c>
      <c r="AO228" s="17">
        <f t="shared" si="425"/>
        <v>0</v>
      </c>
      <c r="AP228" s="18">
        <f t="shared" ref="AP228:AQ228" si="426">IF(AM228=0,0,AN228/AM228)</f>
        <v>0</v>
      </c>
      <c r="AQ228" s="18">
        <f t="shared" si="426"/>
        <v>0</v>
      </c>
    </row>
    <row r="229" ht="15.75" customHeight="1">
      <c r="A229" s="10">
        <v>46230.0</v>
      </c>
      <c r="B229" s="11" t="s">
        <v>26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7">
        <f t="shared" ref="AM229:AO229" si="427">C229+F229+I229+L229+O229+R229+U229+X229+AA229+AD229+AG229+AJ229</f>
        <v>0</v>
      </c>
      <c r="AN229" s="17">
        <f t="shared" si="427"/>
        <v>0</v>
      </c>
      <c r="AO229" s="17">
        <f t="shared" si="427"/>
        <v>0</v>
      </c>
      <c r="AP229" s="18">
        <f t="shared" ref="AP229:AQ229" si="428">IF(AM229=0,0,AN229/AM229)</f>
        <v>0</v>
      </c>
      <c r="AQ229" s="18">
        <f t="shared" si="428"/>
        <v>0</v>
      </c>
    </row>
    <row r="230" ht="15.75" customHeight="1">
      <c r="A230" s="10">
        <v>46231.0</v>
      </c>
      <c r="B230" s="11" t="s">
        <v>27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7">
        <f t="shared" ref="AM230:AO230" si="429">C230+F230+I230+L230+O230+R230+U230+X230+AA230+AD230+AG230+AJ230</f>
        <v>0</v>
      </c>
      <c r="AN230" s="17">
        <f t="shared" si="429"/>
        <v>0</v>
      </c>
      <c r="AO230" s="17">
        <f t="shared" si="429"/>
        <v>0</v>
      </c>
      <c r="AP230" s="18">
        <f t="shared" ref="AP230:AQ230" si="430">IF(AM230=0,0,AN230/AM230)</f>
        <v>0</v>
      </c>
      <c r="AQ230" s="18">
        <f t="shared" si="430"/>
        <v>0</v>
      </c>
    </row>
    <row r="231" ht="15.75" customHeight="1">
      <c r="A231" s="10">
        <v>46232.0</v>
      </c>
      <c r="B231" s="11" t="s">
        <v>28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7">
        <f t="shared" ref="AM231:AO231" si="431">C231+F231+I231+L231+O231+R231+U231+X231+AA231+AD231+AG231+AJ231</f>
        <v>0</v>
      </c>
      <c r="AN231" s="17">
        <f t="shared" si="431"/>
        <v>0</v>
      </c>
      <c r="AO231" s="17">
        <f t="shared" si="431"/>
        <v>0</v>
      </c>
      <c r="AP231" s="18">
        <f t="shared" ref="AP231:AQ231" si="432">IF(AM231=0,0,AN231/AM231)</f>
        <v>0</v>
      </c>
      <c r="AQ231" s="18">
        <f t="shared" si="432"/>
        <v>0</v>
      </c>
    </row>
    <row r="232" ht="15.75" customHeight="1">
      <c r="A232" s="10">
        <v>46233.0</v>
      </c>
      <c r="B232" s="11" t="s">
        <v>22</v>
      </c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7">
        <f t="shared" ref="AM232:AO232" si="433">C232+F232+I232+L232+O232+R232+U232+X232+AA232+AD232+AG232+AJ232</f>
        <v>0</v>
      </c>
      <c r="AN232" s="17">
        <f t="shared" si="433"/>
        <v>0</v>
      </c>
      <c r="AO232" s="17">
        <f t="shared" si="433"/>
        <v>0</v>
      </c>
      <c r="AP232" s="18">
        <f t="shared" ref="AP232:AQ232" si="434">IF(AM232=0,0,AN232/AM232)</f>
        <v>0</v>
      </c>
      <c r="AQ232" s="18">
        <f t="shared" si="434"/>
        <v>0</v>
      </c>
    </row>
    <row r="233" ht="15.75" customHeight="1">
      <c r="A233" s="10">
        <v>46234.0</v>
      </c>
      <c r="B233" s="11" t="s">
        <v>23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7">
        <f t="shared" ref="AM233:AO233" si="435">C233+F233+I233+L233+O233+R233+U233+X233+AA233+AD233+AG233+AJ233</f>
        <v>0</v>
      </c>
      <c r="AN233" s="17">
        <f t="shared" si="435"/>
        <v>0</v>
      </c>
      <c r="AO233" s="17">
        <f t="shared" si="435"/>
        <v>0</v>
      </c>
      <c r="AP233" s="18">
        <f t="shared" ref="AP233:AQ233" si="436">IF(AM233=0,0,AN233/AM233)</f>
        <v>0</v>
      </c>
      <c r="AQ233" s="18">
        <f t="shared" si="436"/>
        <v>0</v>
      </c>
    </row>
    <row r="234" ht="15.75" customHeight="1">
      <c r="A234" s="26" t="s">
        <v>41</v>
      </c>
      <c r="B234" s="27"/>
      <c r="C234" s="28">
        <f t="shared" ref="C234:AO234" si="437">SUM(C203:C233)</f>
        <v>0</v>
      </c>
      <c r="D234" s="28">
        <f t="shared" si="437"/>
        <v>0</v>
      </c>
      <c r="E234" s="28">
        <f t="shared" si="437"/>
        <v>0</v>
      </c>
      <c r="F234" s="28">
        <f t="shared" si="437"/>
        <v>0</v>
      </c>
      <c r="G234" s="28">
        <f t="shared" si="437"/>
        <v>0</v>
      </c>
      <c r="H234" s="28">
        <f t="shared" si="437"/>
        <v>0</v>
      </c>
      <c r="I234" s="28">
        <f t="shared" si="437"/>
        <v>0</v>
      </c>
      <c r="J234" s="28">
        <f t="shared" si="437"/>
        <v>0</v>
      </c>
      <c r="K234" s="28">
        <f t="shared" si="437"/>
        <v>0</v>
      </c>
      <c r="L234" s="28">
        <f t="shared" si="437"/>
        <v>0</v>
      </c>
      <c r="M234" s="28">
        <f t="shared" si="437"/>
        <v>0</v>
      </c>
      <c r="N234" s="28">
        <f t="shared" si="437"/>
        <v>0</v>
      </c>
      <c r="O234" s="28">
        <f t="shared" si="437"/>
        <v>0</v>
      </c>
      <c r="P234" s="28">
        <f t="shared" si="437"/>
        <v>0</v>
      </c>
      <c r="Q234" s="28">
        <f t="shared" si="437"/>
        <v>0</v>
      </c>
      <c r="R234" s="28">
        <f t="shared" si="437"/>
        <v>0</v>
      </c>
      <c r="S234" s="28">
        <f t="shared" si="437"/>
        <v>0</v>
      </c>
      <c r="T234" s="28">
        <f t="shared" si="437"/>
        <v>0</v>
      </c>
      <c r="U234" s="28">
        <f t="shared" si="437"/>
        <v>0</v>
      </c>
      <c r="V234" s="28">
        <f t="shared" si="437"/>
        <v>0</v>
      </c>
      <c r="W234" s="28">
        <f t="shared" si="437"/>
        <v>0</v>
      </c>
      <c r="X234" s="28">
        <f t="shared" si="437"/>
        <v>0</v>
      </c>
      <c r="Y234" s="28">
        <f t="shared" si="437"/>
        <v>0</v>
      </c>
      <c r="Z234" s="28">
        <f t="shared" si="437"/>
        <v>0</v>
      </c>
      <c r="AA234" s="28">
        <f t="shared" si="437"/>
        <v>0</v>
      </c>
      <c r="AB234" s="28">
        <f t="shared" si="437"/>
        <v>0</v>
      </c>
      <c r="AC234" s="28">
        <f t="shared" si="437"/>
        <v>0</v>
      </c>
      <c r="AD234" s="28">
        <f t="shared" si="437"/>
        <v>0</v>
      </c>
      <c r="AE234" s="28">
        <f t="shared" si="437"/>
        <v>0</v>
      </c>
      <c r="AF234" s="28">
        <f t="shared" si="437"/>
        <v>0</v>
      </c>
      <c r="AG234" s="28">
        <f t="shared" si="437"/>
        <v>0</v>
      </c>
      <c r="AH234" s="28">
        <f t="shared" si="437"/>
        <v>0</v>
      </c>
      <c r="AI234" s="28">
        <f t="shared" si="437"/>
        <v>0</v>
      </c>
      <c r="AJ234" s="28">
        <f t="shared" si="437"/>
        <v>0</v>
      </c>
      <c r="AK234" s="28">
        <f t="shared" si="437"/>
        <v>0</v>
      </c>
      <c r="AL234" s="28">
        <f t="shared" si="437"/>
        <v>0</v>
      </c>
      <c r="AM234" s="29">
        <f t="shared" si="437"/>
        <v>0</v>
      </c>
      <c r="AN234" s="29">
        <f t="shared" si="437"/>
        <v>0</v>
      </c>
      <c r="AO234" s="29">
        <f t="shared" si="437"/>
        <v>0</v>
      </c>
      <c r="AP234" s="30">
        <f t="shared" ref="AP234:AQ234" si="438">IF(AM234=0,0,AN234/AM234)</f>
        <v>0</v>
      </c>
      <c r="AQ234" s="30">
        <f t="shared" si="438"/>
        <v>0</v>
      </c>
    </row>
    <row r="235" ht="15.75" customHeight="1"/>
    <row r="236" ht="27.75" customHeight="1">
      <c r="A236" s="9" t="s">
        <v>42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5"/>
    </row>
    <row r="237" ht="15.75" customHeight="1">
      <c r="A237" s="10">
        <v>46235.0</v>
      </c>
      <c r="B237" s="11" t="s">
        <v>24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7">
        <f t="shared" ref="AM237:AO237" si="439">C237+F237+I237+L237+O237+R237+U237+X237+AA237+AD237+AG237+AJ237</f>
        <v>0</v>
      </c>
      <c r="AN237" s="17">
        <f t="shared" si="439"/>
        <v>0</v>
      </c>
      <c r="AO237" s="17">
        <f t="shared" si="439"/>
        <v>0</v>
      </c>
      <c r="AP237" s="18">
        <f t="shared" ref="AP237:AQ237" si="440">IF(AM237=0,0,AN237/AM237)</f>
        <v>0</v>
      </c>
      <c r="AQ237" s="18">
        <f t="shared" si="440"/>
        <v>0</v>
      </c>
    </row>
    <row r="238" ht="15.75" customHeight="1">
      <c r="A238" s="10">
        <v>46236.0</v>
      </c>
      <c r="B238" s="11" t="s">
        <v>25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7">
        <f t="shared" ref="AM238:AO238" si="441">C238+F238+I238+L238+O238+R238+U238+X238+AA238+AD238+AG238+AJ238</f>
        <v>0</v>
      </c>
      <c r="AN238" s="17">
        <f t="shared" si="441"/>
        <v>0</v>
      </c>
      <c r="AO238" s="17">
        <f t="shared" si="441"/>
        <v>0</v>
      </c>
      <c r="AP238" s="18">
        <f t="shared" ref="AP238:AQ238" si="442">IF(AM238=0,0,AN238/AM238)</f>
        <v>0</v>
      </c>
      <c r="AQ238" s="18">
        <f t="shared" si="442"/>
        <v>0</v>
      </c>
    </row>
    <row r="239" ht="15.75" customHeight="1">
      <c r="A239" s="10">
        <v>46237.0</v>
      </c>
      <c r="B239" s="11" t="s">
        <v>26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7">
        <f t="shared" ref="AM239:AO239" si="443">C239+F239+I239+L239+O239+R239+U239+X239+AA239+AD239+AG239+AJ239</f>
        <v>0</v>
      </c>
      <c r="AN239" s="17">
        <f t="shared" si="443"/>
        <v>0</v>
      </c>
      <c r="AO239" s="17">
        <f t="shared" si="443"/>
        <v>0</v>
      </c>
      <c r="AP239" s="18">
        <f t="shared" ref="AP239:AQ239" si="444">IF(AM239=0,0,AN239/AM239)</f>
        <v>0</v>
      </c>
      <c r="AQ239" s="18">
        <f t="shared" si="444"/>
        <v>0</v>
      </c>
    </row>
    <row r="240" ht="15.75" customHeight="1">
      <c r="A240" s="10">
        <v>46238.0</v>
      </c>
      <c r="B240" s="11" t="s">
        <v>27</v>
      </c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7">
        <f t="shared" ref="AM240:AO240" si="445">C240+F240+I240+L240+O240+R240+U240+X240+AA240+AD240+AG240+AJ240</f>
        <v>0</v>
      </c>
      <c r="AN240" s="17">
        <f t="shared" si="445"/>
        <v>0</v>
      </c>
      <c r="AO240" s="17">
        <f t="shared" si="445"/>
        <v>0</v>
      </c>
      <c r="AP240" s="18">
        <f t="shared" ref="AP240:AQ240" si="446">IF(AM240=0,0,AN240/AM240)</f>
        <v>0</v>
      </c>
      <c r="AQ240" s="18">
        <f t="shared" si="446"/>
        <v>0</v>
      </c>
    </row>
    <row r="241" ht="15.75" customHeight="1">
      <c r="A241" s="10">
        <v>46239.0</v>
      </c>
      <c r="B241" s="11" t="s">
        <v>28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7">
        <f t="shared" ref="AM241:AO241" si="447">C241+F241+I241+L241+O241+R241+U241+X241+AA241+AD241+AG241+AJ241</f>
        <v>0</v>
      </c>
      <c r="AN241" s="17">
        <f t="shared" si="447"/>
        <v>0</v>
      </c>
      <c r="AO241" s="17">
        <f t="shared" si="447"/>
        <v>0</v>
      </c>
      <c r="AP241" s="18">
        <f t="shared" ref="AP241:AQ241" si="448">IF(AM241=0,0,AN241/AM241)</f>
        <v>0</v>
      </c>
      <c r="AQ241" s="18">
        <f t="shared" si="448"/>
        <v>0</v>
      </c>
    </row>
    <row r="242" ht="15.75" customHeight="1">
      <c r="A242" s="10">
        <v>46240.0</v>
      </c>
      <c r="B242" s="11" t="s">
        <v>22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7">
        <f t="shared" ref="AM242:AO242" si="449">C242+F242+I242+L242+O242+R242+U242+X242+AA242+AD242+AG242+AJ242</f>
        <v>0</v>
      </c>
      <c r="AN242" s="17">
        <f t="shared" si="449"/>
        <v>0</v>
      </c>
      <c r="AO242" s="17">
        <f t="shared" si="449"/>
        <v>0</v>
      </c>
      <c r="AP242" s="18">
        <f t="shared" ref="AP242:AQ242" si="450">IF(AM242=0,0,AN242/AM242)</f>
        <v>0</v>
      </c>
      <c r="AQ242" s="18">
        <f t="shared" si="450"/>
        <v>0</v>
      </c>
    </row>
    <row r="243" ht="15.75" customHeight="1">
      <c r="A243" s="10">
        <v>46241.0</v>
      </c>
      <c r="B243" s="11" t="s">
        <v>23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7">
        <f t="shared" ref="AM243:AO243" si="451">C243+F243+I243+L243+O243+R243+U243+X243+AA243+AD243+AG243+AJ243</f>
        <v>0</v>
      </c>
      <c r="AN243" s="17">
        <f t="shared" si="451"/>
        <v>0</v>
      </c>
      <c r="AO243" s="17">
        <f t="shared" si="451"/>
        <v>0</v>
      </c>
      <c r="AP243" s="18">
        <f t="shared" ref="AP243:AQ243" si="452">IF(AM243=0,0,AN243/AM243)</f>
        <v>0</v>
      </c>
      <c r="AQ243" s="18">
        <f t="shared" si="452"/>
        <v>0</v>
      </c>
    </row>
    <row r="244" ht="15.75" customHeight="1">
      <c r="A244" s="10">
        <v>46242.0</v>
      </c>
      <c r="B244" s="11" t="s">
        <v>24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7">
        <f t="shared" ref="AM244:AO244" si="453">C244+F244+I244+L244+O244+R244+U244+X244+AA244+AD244+AG244+AJ244</f>
        <v>0</v>
      </c>
      <c r="AN244" s="17">
        <f t="shared" si="453"/>
        <v>0</v>
      </c>
      <c r="AO244" s="17">
        <f t="shared" si="453"/>
        <v>0</v>
      </c>
      <c r="AP244" s="18">
        <f t="shared" ref="AP244:AQ244" si="454">IF(AM244=0,0,AN244/AM244)</f>
        <v>0</v>
      </c>
      <c r="AQ244" s="18">
        <f t="shared" si="454"/>
        <v>0</v>
      </c>
    </row>
    <row r="245" ht="15.75" customHeight="1">
      <c r="A245" s="10">
        <v>46243.0</v>
      </c>
      <c r="B245" s="11" t="s">
        <v>25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7">
        <f t="shared" ref="AM245:AO245" si="455">C245+F245+I245+L245+O245+R245+U245+X245+AA245+AD245+AG245+AJ245</f>
        <v>0</v>
      </c>
      <c r="AN245" s="17">
        <f t="shared" si="455"/>
        <v>0</v>
      </c>
      <c r="AO245" s="17">
        <f t="shared" si="455"/>
        <v>0</v>
      </c>
      <c r="AP245" s="18">
        <f t="shared" ref="AP245:AQ245" si="456">IF(AM245=0,0,AN245/AM245)</f>
        <v>0</v>
      </c>
      <c r="AQ245" s="18">
        <f t="shared" si="456"/>
        <v>0</v>
      </c>
    </row>
    <row r="246" ht="15.75" customHeight="1">
      <c r="A246" s="10">
        <v>46244.0</v>
      </c>
      <c r="B246" s="11" t="s">
        <v>26</v>
      </c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7">
        <f t="shared" ref="AM246:AO246" si="457">C246+F246+I246+L246+O246+R246+U246+X246+AA246+AD246+AG246+AJ246</f>
        <v>0</v>
      </c>
      <c r="AN246" s="17">
        <f t="shared" si="457"/>
        <v>0</v>
      </c>
      <c r="AO246" s="17">
        <f t="shared" si="457"/>
        <v>0</v>
      </c>
      <c r="AP246" s="18">
        <f t="shared" ref="AP246:AQ246" si="458">IF(AM246=0,0,AN246/AM246)</f>
        <v>0</v>
      </c>
      <c r="AQ246" s="18">
        <f t="shared" si="458"/>
        <v>0</v>
      </c>
    </row>
    <row r="247" ht="15.75" customHeight="1">
      <c r="A247" s="10">
        <v>46245.0</v>
      </c>
      <c r="B247" s="11" t="s">
        <v>27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7">
        <f t="shared" ref="AM247:AO247" si="459">C247+F247+I247+L247+O247+R247+U247+X247+AA247+AD247+AG247+AJ247</f>
        <v>0</v>
      </c>
      <c r="AN247" s="17">
        <f t="shared" si="459"/>
        <v>0</v>
      </c>
      <c r="AO247" s="17">
        <f t="shared" si="459"/>
        <v>0</v>
      </c>
      <c r="AP247" s="18">
        <f t="shared" ref="AP247:AQ247" si="460">IF(AM247=0,0,AN247/AM247)</f>
        <v>0</v>
      </c>
      <c r="AQ247" s="18">
        <f t="shared" si="460"/>
        <v>0</v>
      </c>
    </row>
    <row r="248" ht="15.75" customHeight="1">
      <c r="A248" s="10">
        <v>46246.0</v>
      </c>
      <c r="B248" s="11" t="s">
        <v>28</v>
      </c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7">
        <f t="shared" ref="AM248:AO248" si="461">C248+F248+I248+L248+O248+R248+U248+X248+AA248+AD248+AG248+AJ248</f>
        <v>0</v>
      </c>
      <c r="AN248" s="17">
        <f t="shared" si="461"/>
        <v>0</v>
      </c>
      <c r="AO248" s="17">
        <f t="shared" si="461"/>
        <v>0</v>
      </c>
      <c r="AP248" s="18">
        <f t="shared" ref="AP248:AQ248" si="462">IF(AM248=0,0,AN248/AM248)</f>
        <v>0</v>
      </c>
      <c r="AQ248" s="18">
        <f t="shared" si="462"/>
        <v>0</v>
      </c>
    </row>
    <row r="249" ht="15.75" customHeight="1">
      <c r="A249" s="10">
        <v>46247.0</v>
      </c>
      <c r="B249" s="11" t="s">
        <v>22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7">
        <f t="shared" ref="AM249:AO249" si="463">C249+F249+I249+L249+O249+R249+U249+X249+AA249+AD249+AG249+AJ249</f>
        <v>0</v>
      </c>
      <c r="AN249" s="17">
        <f t="shared" si="463"/>
        <v>0</v>
      </c>
      <c r="AO249" s="17">
        <f t="shared" si="463"/>
        <v>0</v>
      </c>
      <c r="AP249" s="18">
        <f t="shared" ref="AP249:AQ249" si="464">IF(AM249=0,0,AN249/AM249)</f>
        <v>0</v>
      </c>
      <c r="AQ249" s="18">
        <f t="shared" si="464"/>
        <v>0</v>
      </c>
    </row>
    <row r="250" ht="15.75" customHeight="1">
      <c r="A250" s="10">
        <v>46248.0</v>
      </c>
      <c r="B250" s="11" t="s">
        <v>23</v>
      </c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7">
        <f t="shared" ref="AM250:AO250" si="465">C250+F250+I250+L250+O250+R250+U250+X250+AA250+AD250+AG250+AJ250</f>
        <v>0</v>
      </c>
      <c r="AN250" s="17">
        <f t="shared" si="465"/>
        <v>0</v>
      </c>
      <c r="AO250" s="17">
        <f t="shared" si="465"/>
        <v>0</v>
      </c>
      <c r="AP250" s="18">
        <f t="shared" ref="AP250:AQ250" si="466">IF(AM250=0,0,AN250/AM250)</f>
        <v>0</v>
      </c>
      <c r="AQ250" s="18">
        <f t="shared" si="466"/>
        <v>0</v>
      </c>
    </row>
    <row r="251" ht="15.75" customHeight="1">
      <c r="A251" s="10">
        <v>46249.0</v>
      </c>
      <c r="B251" s="11" t="s">
        <v>24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7">
        <f t="shared" ref="AM251:AO251" si="467">C251+F251+I251+L251+O251+R251+U251+X251+AA251+AD251+AG251+AJ251</f>
        <v>0</v>
      </c>
      <c r="AN251" s="17">
        <f t="shared" si="467"/>
        <v>0</v>
      </c>
      <c r="AO251" s="17">
        <f t="shared" si="467"/>
        <v>0</v>
      </c>
      <c r="AP251" s="18">
        <f t="shared" ref="AP251:AQ251" si="468">IF(AM251=0,0,AN251/AM251)</f>
        <v>0</v>
      </c>
      <c r="AQ251" s="18">
        <f t="shared" si="468"/>
        <v>0</v>
      </c>
    </row>
    <row r="252" ht="15.75" customHeight="1">
      <c r="A252" s="10">
        <v>46250.0</v>
      </c>
      <c r="B252" s="11" t="s">
        <v>25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7">
        <f t="shared" ref="AM252:AO252" si="469">C252+F252+I252+L252+O252+R252+U252+X252+AA252+AD252+AG252+AJ252</f>
        <v>0</v>
      </c>
      <c r="AN252" s="17">
        <f t="shared" si="469"/>
        <v>0</v>
      </c>
      <c r="AO252" s="17">
        <f t="shared" si="469"/>
        <v>0</v>
      </c>
      <c r="AP252" s="18">
        <f t="shared" ref="AP252:AQ252" si="470">IF(AM252=0,0,AN252/AM252)</f>
        <v>0</v>
      </c>
      <c r="AQ252" s="18">
        <f t="shared" si="470"/>
        <v>0</v>
      </c>
    </row>
    <row r="253" ht="15.75" customHeight="1">
      <c r="A253" s="10">
        <v>46251.0</v>
      </c>
      <c r="B253" s="11" t="s">
        <v>26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7">
        <f t="shared" ref="AM253:AO253" si="471">C253+F253+I253+L253+O253+R253+U253+X253+AA253+AD253+AG253+AJ253</f>
        <v>0</v>
      </c>
      <c r="AN253" s="17">
        <f t="shared" si="471"/>
        <v>0</v>
      </c>
      <c r="AO253" s="17">
        <f t="shared" si="471"/>
        <v>0</v>
      </c>
      <c r="AP253" s="18">
        <f t="shared" ref="AP253:AQ253" si="472">IF(AM253=0,0,AN253/AM253)</f>
        <v>0</v>
      </c>
      <c r="AQ253" s="18">
        <f t="shared" si="472"/>
        <v>0</v>
      </c>
    </row>
    <row r="254" ht="15.75" customHeight="1">
      <c r="A254" s="10">
        <v>46252.0</v>
      </c>
      <c r="B254" s="11" t="s">
        <v>27</v>
      </c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7">
        <f t="shared" ref="AM254:AO254" si="473">C254+F254+I254+L254+O254+R254+U254+X254+AA254+AD254+AG254+AJ254</f>
        <v>0</v>
      </c>
      <c r="AN254" s="17">
        <f t="shared" si="473"/>
        <v>0</v>
      </c>
      <c r="AO254" s="17">
        <f t="shared" si="473"/>
        <v>0</v>
      </c>
      <c r="AP254" s="18">
        <f t="shared" ref="AP254:AQ254" si="474">IF(AM254=0,0,AN254/AM254)</f>
        <v>0</v>
      </c>
      <c r="AQ254" s="18">
        <f t="shared" si="474"/>
        <v>0</v>
      </c>
    </row>
    <row r="255" ht="15.75" customHeight="1">
      <c r="A255" s="10">
        <v>46253.0</v>
      </c>
      <c r="B255" s="11" t="s">
        <v>28</v>
      </c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7">
        <f t="shared" ref="AM255:AO255" si="475">C255+F255+I255+L255+O255+R255+U255+X255+AA255+AD255+AG255+AJ255</f>
        <v>0</v>
      </c>
      <c r="AN255" s="17">
        <f t="shared" si="475"/>
        <v>0</v>
      </c>
      <c r="AO255" s="17">
        <f t="shared" si="475"/>
        <v>0</v>
      </c>
      <c r="AP255" s="18">
        <f t="shared" ref="AP255:AQ255" si="476">IF(AM255=0,0,AN255/AM255)</f>
        <v>0</v>
      </c>
      <c r="AQ255" s="18">
        <f t="shared" si="476"/>
        <v>0</v>
      </c>
    </row>
    <row r="256" ht="15.75" customHeight="1">
      <c r="A256" s="10">
        <v>46254.0</v>
      </c>
      <c r="B256" s="11" t="s">
        <v>22</v>
      </c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7">
        <f t="shared" ref="AM256:AO256" si="477">C256+F256+I256+L256+O256+R256+U256+X256+AA256+AD256+AG256+AJ256</f>
        <v>0</v>
      </c>
      <c r="AN256" s="17">
        <f t="shared" si="477"/>
        <v>0</v>
      </c>
      <c r="AO256" s="17">
        <f t="shared" si="477"/>
        <v>0</v>
      </c>
      <c r="AP256" s="18">
        <f t="shared" ref="AP256:AQ256" si="478">IF(AM256=0,0,AN256/AM256)</f>
        <v>0</v>
      </c>
      <c r="AQ256" s="18">
        <f t="shared" si="478"/>
        <v>0</v>
      </c>
    </row>
    <row r="257" ht="15.75" customHeight="1">
      <c r="A257" s="10">
        <v>46255.0</v>
      </c>
      <c r="B257" s="11" t="s">
        <v>23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7">
        <f t="shared" ref="AM257:AO257" si="479">C257+F257+I257+L257+O257+R257+U257+X257+AA257+AD257+AG257+AJ257</f>
        <v>0</v>
      </c>
      <c r="AN257" s="17">
        <f t="shared" si="479"/>
        <v>0</v>
      </c>
      <c r="AO257" s="17">
        <f t="shared" si="479"/>
        <v>0</v>
      </c>
      <c r="AP257" s="18">
        <f t="shared" ref="AP257:AQ257" si="480">IF(AM257=0,0,AN257/AM257)</f>
        <v>0</v>
      </c>
      <c r="AQ257" s="18">
        <f t="shared" si="480"/>
        <v>0</v>
      </c>
    </row>
    <row r="258" ht="15.75" customHeight="1">
      <c r="A258" s="10">
        <v>46256.0</v>
      </c>
      <c r="B258" s="11" t="s">
        <v>24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7">
        <f t="shared" ref="AM258:AO258" si="481">C258+F258+I258+L258+O258+R258+U258+X258+AA258+AD258+AG258+AJ258</f>
        <v>0</v>
      </c>
      <c r="AN258" s="17">
        <f t="shared" si="481"/>
        <v>0</v>
      </c>
      <c r="AO258" s="17">
        <f t="shared" si="481"/>
        <v>0</v>
      </c>
      <c r="AP258" s="18">
        <f t="shared" ref="AP258:AQ258" si="482">IF(AM258=0,0,AN258/AM258)</f>
        <v>0</v>
      </c>
      <c r="AQ258" s="18">
        <f t="shared" si="482"/>
        <v>0</v>
      </c>
    </row>
    <row r="259" ht="15.75" customHeight="1">
      <c r="A259" s="10">
        <v>46257.0</v>
      </c>
      <c r="B259" s="11" t="s">
        <v>25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7">
        <f t="shared" ref="AM259:AO259" si="483">C259+F259+I259+L259+O259+R259+U259+X259+AA259+AD259+AG259+AJ259</f>
        <v>0</v>
      </c>
      <c r="AN259" s="17">
        <f t="shared" si="483"/>
        <v>0</v>
      </c>
      <c r="AO259" s="17">
        <f t="shared" si="483"/>
        <v>0</v>
      </c>
      <c r="AP259" s="18">
        <f t="shared" ref="AP259:AQ259" si="484">IF(AM259=0,0,AN259/AM259)</f>
        <v>0</v>
      </c>
      <c r="AQ259" s="18">
        <f t="shared" si="484"/>
        <v>0</v>
      </c>
    </row>
    <row r="260" ht="15.75" customHeight="1">
      <c r="A260" s="10">
        <v>46258.0</v>
      </c>
      <c r="B260" s="11" t="s">
        <v>26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7">
        <f t="shared" ref="AM260:AO260" si="485">C260+F260+I260+L260+O260+R260+U260+X260+AA260+AD260+AG260+AJ260</f>
        <v>0</v>
      </c>
      <c r="AN260" s="17">
        <f t="shared" si="485"/>
        <v>0</v>
      </c>
      <c r="AO260" s="17">
        <f t="shared" si="485"/>
        <v>0</v>
      </c>
      <c r="AP260" s="18">
        <f t="shared" ref="AP260:AQ260" si="486">IF(AM260=0,0,AN260/AM260)</f>
        <v>0</v>
      </c>
      <c r="AQ260" s="18">
        <f t="shared" si="486"/>
        <v>0</v>
      </c>
    </row>
    <row r="261" ht="15.75" customHeight="1">
      <c r="A261" s="10">
        <v>46259.0</v>
      </c>
      <c r="B261" s="11" t="s">
        <v>27</v>
      </c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7">
        <f t="shared" ref="AM261:AO261" si="487">C261+F261+I261+L261+O261+R261+U261+X261+AA261+AD261+AG261+AJ261</f>
        <v>0</v>
      </c>
      <c r="AN261" s="17">
        <f t="shared" si="487"/>
        <v>0</v>
      </c>
      <c r="AO261" s="17">
        <f t="shared" si="487"/>
        <v>0</v>
      </c>
      <c r="AP261" s="18">
        <f t="shared" ref="AP261:AQ261" si="488">IF(AM261=0,0,AN261/AM261)</f>
        <v>0</v>
      </c>
      <c r="AQ261" s="18">
        <f t="shared" si="488"/>
        <v>0</v>
      </c>
    </row>
    <row r="262" ht="15.75" customHeight="1">
      <c r="A262" s="10">
        <v>46260.0</v>
      </c>
      <c r="B262" s="11" t="s">
        <v>28</v>
      </c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7">
        <f t="shared" ref="AM262:AO262" si="489">C262+F262+I262+L262+O262+R262+U262+X262+AA262+AD262+AG262+AJ262</f>
        <v>0</v>
      </c>
      <c r="AN262" s="17">
        <f t="shared" si="489"/>
        <v>0</v>
      </c>
      <c r="AO262" s="17">
        <f t="shared" si="489"/>
        <v>0</v>
      </c>
      <c r="AP262" s="18">
        <f t="shared" ref="AP262:AQ262" si="490">IF(AM262=0,0,AN262/AM262)</f>
        <v>0</v>
      </c>
      <c r="AQ262" s="18">
        <f t="shared" si="490"/>
        <v>0</v>
      </c>
    </row>
    <row r="263" ht="15.75" customHeight="1">
      <c r="A263" s="10">
        <v>46261.0</v>
      </c>
      <c r="B263" s="11" t="s">
        <v>22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7">
        <f t="shared" ref="AM263:AO263" si="491">C263+F263+I263+L263+O263+R263+U263+X263+AA263+AD263+AG263+AJ263</f>
        <v>0</v>
      </c>
      <c r="AN263" s="17">
        <f t="shared" si="491"/>
        <v>0</v>
      </c>
      <c r="AO263" s="17">
        <f t="shared" si="491"/>
        <v>0</v>
      </c>
      <c r="AP263" s="18">
        <f t="shared" ref="AP263:AQ263" si="492">IF(AM263=0,0,AN263/AM263)</f>
        <v>0</v>
      </c>
      <c r="AQ263" s="18">
        <f t="shared" si="492"/>
        <v>0</v>
      </c>
    </row>
    <row r="264" ht="15.75" customHeight="1">
      <c r="A264" s="10">
        <v>46262.0</v>
      </c>
      <c r="B264" s="11" t="s">
        <v>23</v>
      </c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7">
        <f t="shared" ref="AM264:AO264" si="493">C264+F264+I264+L264+O264+R264+U264+X264+AA264+AD264+AG264+AJ264</f>
        <v>0</v>
      </c>
      <c r="AN264" s="17">
        <f t="shared" si="493"/>
        <v>0</v>
      </c>
      <c r="AO264" s="17">
        <f t="shared" si="493"/>
        <v>0</v>
      </c>
      <c r="AP264" s="18">
        <f t="shared" ref="AP264:AQ264" si="494">IF(AM264=0,0,AN264/AM264)</f>
        <v>0</v>
      </c>
      <c r="AQ264" s="18">
        <f t="shared" si="494"/>
        <v>0</v>
      </c>
    </row>
    <row r="265" ht="15.75" customHeight="1">
      <c r="A265" s="10">
        <v>46263.0</v>
      </c>
      <c r="B265" s="11" t="s">
        <v>24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7">
        <f t="shared" ref="AM265:AO265" si="495">C265+F265+I265+L265+O265+R265+U265+X265+AA265+AD265+AG265+AJ265</f>
        <v>0</v>
      </c>
      <c r="AN265" s="17">
        <f t="shared" si="495"/>
        <v>0</v>
      </c>
      <c r="AO265" s="17">
        <f t="shared" si="495"/>
        <v>0</v>
      </c>
      <c r="AP265" s="18">
        <f t="shared" ref="AP265:AQ265" si="496">IF(AM265=0,0,AN265/AM265)</f>
        <v>0</v>
      </c>
      <c r="AQ265" s="18">
        <f t="shared" si="496"/>
        <v>0</v>
      </c>
    </row>
    <row r="266" ht="15.75" customHeight="1">
      <c r="A266" s="10">
        <v>46264.0</v>
      </c>
      <c r="B266" s="11" t="s">
        <v>25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7">
        <f t="shared" ref="AM266:AO266" si="497">C266+F266+I266+L266+O266+R266+U266+X266+AA266+AD266+AG266+AJ266</f>
        <v>0</v>
      </c>
      <c r="AN266" s="17">
        <f t="shared" si="497"/>
        <v>0</v>
      </c>
      <c r="AO266" s="17">
        <f t="shared" si="497"/>
        <v>0</v>
      </c>
      <c r="AP266" s="18">
        <f t="shared" ref="AP266:AQ266" si="498">IF(AM266=0,0,AN266/AM266)</f>
        <v>0</v>
      </c>
      <c r="AQ266" s="18">
        <f t="shared" si="498"/>
        <v>0</v>
      </c>
    </row>
    <row r="267" ht="15.75" customHeight="1">
      <c r="A267" s="10">
        <v>46265.0</v>
      </c>
      <c r="B267" s="11" t="s">
        <v>26</v>
      </c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7">
        <f t="shared" ref="AM267:AO267" si="499">C267+F267+I267+L267+O267+R267+U267+X267+AA267+AD267+AG267+AJ267</f>
        <v>0</v>
      </c>
      <c r="AN267" s="17">
        <f t="shared" si="499"/>
        <v>0</v>
      </c>
      <c r="AO267" s="17">
        <f t="shared" si="499"/>
        <v>0</v>
      </c>
      <c r="AP267" s="18">
        <f t="shared" ref="AP267:AQ267" si="500">IF(AM267=0,0,AN267/AM267)</f>
        <v>0</v>
      </c>
      <c r="AQ267" s="18">
        <f t="shared" si="500"/>
        <v>0</v>
      </c>
    </row>
    <row r="268" ht="15.75" customHeight="1">
      <c r="A268" s="26" t="s">
        <v>43</v>
      </c>
      <c r="B268" s="27"/>
      <c r="C268" s="28">
        <f t="shared" ref="C268:AO268" si="501">SUM(C237:C267)</f>
        <v>0</v>
      </c>
      <c r="D268" s="28">
        <f t="shared" si="501"/>
        <v>0</v>
      </c>
      <c r="E268" s="28">
        <f t="shared" si="501"/>
        <v>0</v>
      </c>
      <c r="F268" s="28">
        <f t="shared" si="501"/>
        <v>0</v>
      </c>
      <c r="G268" s="28">
        <f t="shared" si="501"/>
        <v>0</v>
      </c>
      <c r="H268" s="28">
        <f t="shared" si="501"/>
        <v>0</v>
      </c>
      <c r="I268" s="28">
        <f t="shared" si="501"/>
        <v>0</v>
      </c>
      <c r="J268" s="28">
        <f t="shared" si="501"/>
        <v>0</v>
      </c>
      <c r="K268" s="28">
        <f t="shared" si="501"/>
        <v>0</v>
      </c>
      <c r="L268" s="28">
        <f t="shared" si="501"/>
        <v>0</v>
      </c>
      <c r="M268" s="28">
        <f t="shared" si="501"/>
        <v>0</v>
      </c>
      <c r="N268" s="28">
        <f t="shared" si="501"/>
        <v>0</v>
      </c>
      <c r="O268" s="28">
        <f t="shared" si="501"/>
        <v>0</v>
      </c>
      <c r="P268" s="28">
        <f t="shared" si="501"/>
        <v>0</v>
      </c>
      <c r="Q268" s="28">
        <f t="shared" si="501"/>
        <v>0</v>
      </c>
      <c r="R268" s="28">
        <f t="shared" si="501"/>
        <v>0</v>
      </c>
      <c r="S268" s="28">
        <f t="shared" si="501"/>
        <v>0</v>
      </c>
      <c r="T268" s="28">
        <f t="shared" si="501"/>
        <v>0</v>
      </c>
      <c r="U268" s="28">
        <f t="shared" si="501"/>
        <v>0</v>
      </c>
      <c r="V268" s="28">
        <f t="shared" si="501"/>
        <v>0</v>
      </c>
      <c r="W268" s="28">
        <f t="shared" si="501"/>
        <v>0</v>
      </c>
      <c r="X268" s="28">
        <f t="shared" si="501"/>
        <v>0</v>
      </c>
      <c r="Y268" s="28">
        <f t="shared" si="501"/>
        <v>0</v>
      </c>
      <c r="Z268" s="28">
        <f t="shared" si="501"/>
        <v>0</v>
      </c>
      <c r="AA268" s="28">
        <f t="shared" si="501"/>
        <v>0</v>
      </c>
      <c r="AB268" s="28">
        <f t="shared" si="501"/>
        <v>0</v>
      </c>
      <c r="AC268" s="28">
        <f t="shared" si="501"/>
        <v>0</v>
      </c>
      <c r="AD268" s="28">
        <f t="shared" si="501"/>
        <v>0</v>
      </c>
      <c r="AE268" s="28">
        <f t="shared" si="501"/>
        <v>0</v>
      </c>
      <c r="AF268" s="28">
        <f t="shared" si="501"/>
        <v>0</v>
      </c>
      <c r="AG268" s="28">
        <f t="shared" si="501"/>
        <v>0</v>
      </c>
      <c r="AH268" s="28">
        <f t="shared" si="501"/>
        <v>0</v>
      </c>
      <c r="AI268" s="28">
        <f t="shared" si="501"/>
        <v>0</v>
      </c>
      <c r="AJ268" s="28">
        <f t="shared" si="501"/>
        <v>0</v>
      </c>
      <c r="AK268" s="28">
        <f t="shared" si="501"/>
        <v>0</v>
      </c>
      <c r="AL268" s="28">
        <f t="shared" si="501"/>
        <v>0</v>
      </c>
      <c r="AM268" s="29">
        <f t="shared" si="501"/>
        <v>0</v>
      </c>
      <c r="AN268" s="29">
        <f t="shared" si="501"/>
        <v>0</v>
      </c>
      <c r="AO268" s="29">
        <f t="shared" si="501"/>
        <v>0</v>
      </c>
      <c r="AP268" s="30">
        <f t="shared" ref="AP268:AQ268" si="502">IF(AM268=0,0,AN268/AM268)</f>
        <v>0</v>
      </c>
      <c r="AQ268" s="30">
        <f t="shared" si="502"/>
        <v>0</v>
      </c>
    </row>
    <row r="269" ht="15.75" customHeight="1"/>
    <row r="270" ht="27.75" customHeight="1">
      <c r="A270" s="9" t="s">
        <v>44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5"/>
    </row>
    <row r="271" ht="15.75" customHeight="1">
      <c r="A271" s="10">
        <v>46266.0</v>
      </c>
      <c r="B271" s="11" t="s">
        <v>27</v>
      </c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7">
        <f t="shared" ref="AM271:AO271" si="503">C271+F271+I271+L271+O271+R271+U271+X271+AA271+AD271+AG271+AJ271</f>
        <v>0</v>
      </c>
      <c r="AN271" s="17">
        <f t="shared" si="503"/>
        <v>0</v>
      </c>
      <c r="AO271" s="17">
        <f t="shared" si="503"/>
        <v>0</v>
      </c>
      <c r="AP271" s="18">
        <f t="shared" ref="AP271:AQ271" si="504">IF(AM271=0,0,AN271/AM271)</f>
        <v>0</v>
      </c>
      <c r="AQ271" s="18">
        <f t="shared" si="504"/>
        <v>0</v>
      </c>
    </row>
    <row r="272" ht="15.75" customHeight="1">
      <c r="A272" s="10">
        <v>46267.0</v>
      </c>
      <c r="B272" s="11" t="s">
        <v>28</v>
      </c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7">
        <f t="shared" ref="AM272:AO272" si="505">C272+F272+I272+L272+O272+R272+U272+X272+AA272+AD272+AG272+AJ272</f>
        <v>0</v>
      </c>
      <c r="AN272" s="17">
        <f t="shared" si="505"/>
        <v>0</v>
      </c>
      <c r="AO272" s="17">
        <f t="shared" si="505"/>
        <v>0</v>
      </c>
      <c r="AP272" s="18">
        <f t="shared" ref="AP272:AQ272" si="506">IF(AM272=0,0,AN272/AM272)</f>
        <v>0</v>
      </c>
      <c r="AQ272" s="18">
        <f t="shared" si="506"/>
        <v>0</v>
      </c>
    </row>
    <row r="273" ht="15.75" customHeight="1">
      <c r="A273" s="10">
        <v>46268.0</v>
      </c>
      <c r="B273" s="11" t="s">
        <v>22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7">
        <f t="shared" ref="AM273:AO273" si="507">C273+F273+I273+L273+O273+R273+U273+X273+AA273+AD273+AG273+AJ273</f>
        <v>0</v>
      </c>
      <c r="AN273" s="17">
        <f t="shared" si="507"/>
        <v>0</v>
      </c>
      <c r="AO273" s="17">
        <f t="shared" si="507"/>
        <v>0</v>
      </c>
      <c r="AP273" s="18">
        <f t="shared" ref="AP273:AQ273" si="508">IF(AM273=0,0,AN273/AM273)</f>
        <v>0</v>
      </c>
      <c r="AQ273" s="18">
        <f t="shared" si="508"/>
        <v>0</v>
      </c>
    </row>
    <row r="274" ht="15.75" customHeight="1">
      <c r="A274" s="10">
        <v>46269.0</v>
      </c>
      <c r="B274" s="11" t="s">
        <v>23</v>
      </c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7">
        <f t="shared" ref="AM274:AO274" si="509">C274+F274+I274+L274+O274+R274+U274+X274+AA274+AD274+AG274+AJ274</f>
        <v>0</v>
      </c>
      <c r="AN274" s="17">
        <f t="shared" si="509"/>
        <v>0</v>
      </c>
      <c r="AO274" s="17">
        <f t="shared" si="509"/>
        <v>0</v>
      </c>
      <c r="AP274" s="18">
        <f t="shared" ref="AP274:AQ274" si="510">IF(AM274=0,0,AN274/AM274)</f>
        <v>0</v>
      </c>
      <c r="AQ274" s="18">
        <f t="shared" si="510"/>
        <v>0</v>
      </c>
    </row>
    <row r="275" ht="15.75" customHeight="1">
      <c r="A275" s="10">
        <v>46270.0</v>
      </c>
      <c r="B275" s="11" t="s">
        <v>24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7">
        <f t="shared" ref="AM275:AO275" si="511">C275+F275+I275+L275+O275+R275+U275+X275+AA275+AD275+AG275+AJ275</f>
        <v>0</v>
      </c>
      <c r="AN275" s="17">
        <f t="shared" si="511"/>
        <v>0</v>
      </c>
      <c r="AO275" s="17">
        <f t="shared" si="511"/>
        <v>0</v>
      </c>
      <c r="AP275" s="18">
        <f t="shared" ref="AP275:AQ275" si="512">IF(AM275=0,0,AN275/AM275)</f>
        <v>0</v>
      </c>
      <c r="AQ275" s="18">
        <f t="shared" si="512"/>
        <v>0</v>
      </c>
    </row>
    <row r="276" ht="15.75" customHeight="1">
      <c r="A276" s="10">
        <v>46271.0</v>
      </c>
      <c r="B276" s="11" t="s">
        <v>25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7">
        <f t="shared" ref="AM276:AO276" si="513">C276+F276+I276+L276+O276+R276+U276+X276+AA276+AD276+AG276+AJ276</f>
        <v>0</v>
      </c>
      <c r="AN276" s="17">
        <f t="shared" si="513"/>
        <v>0</v>
      </c>
      <c r="AO276" s="17">
        <f t="shared" si="513"/>
        <v>0</v>
      </c>
      <c r="AP276" s="18">
        <f t="shared" ref="AP276:AQ276" si="514">IF(AM276=0,0,AN276/AM276)</f>
        <v>0</v>
      </c>
      <c r="AQ276" s="18">
        <f t="shared" si="514"/>
        <v>0</v>
      </c>
    </row>
    <row r="277" ht="15.75" customHeight="1">
      <c r="A277" s="10">
        <v>46272.0</v>
      </c>
      <c r="B277" s="11" t="s">
        <v>26</v>
      </c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7">
        <f t="shared" ref="AM277:AO277" si="515">C277+F277+I277+L277+O277+R277+U277+X277+AA277+AD277+AG277+AJ277</f>
        <v>0</v>
      </c>
      <c r="AN277" s="17">
        <f t="shared" si="515"/>
        <v>0</v>
      </c>
      <c r="AO277" s="17">
        <f t="shared" si="515"/>
        <v>0</v>
      </c>
      <c r="AP277" s="18">
        <f t="shared" ref="AP277:AQ277" si="516">IF(AM277=0,0,AN277/AM277)</f>
        <v>0</v>
      </c>
      <c r="AQ277" s="18">
        <f t="shared" si="516"/>
        <v>0</v>
      </c>
    </row>
    <row r="278" ht="15.75" customHeight="1">
      <c r="A278" s="10">
        <v>46273.0</v>
      </c>
      <c r="B278" s="11" t="s">
        <v>27</v>
      </c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7">
        <f t="shared" ref="AM278:AO278" si="517">C278+F278+I278+L278+O278+R278+U278+X278+AA278+AD278+AG278+AJ278</f>
        <v>0</v>
      </c>
      <c r="AN278" s="17">
        <f t="shared" si="517"/>
        <v>0</v>
      </c>
      <c r="AO278" s="17">
        <f t="shared" si="517"/>
        <v>0</v>
      </c>
      <c r="AP278" s="18">
        <f t="shared" ref="AP278:AQ278" si="518">IF(AM278=0,0,AN278/AM278)</f>
        <v>0</v>
      </c>
      <c r="AQ278" s="18">
        <f t="shared" si="518"/>
        <v>0</v>
      </c>
    </row>
    <row r="279" ht="15.75" customHeight="1">
      <c r="A279" s="10">
        <v>46274.0</v>
      </c>
      <c r="B279" s="11" t="s">
        <v>28</v>
      </c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7">
        <f t="shared" ref="AM279:AO279" si="519">C279+F279+I279+L279+O279+R279+U279+X279+AA279+AD279+AG279+AJ279</f>
        <v>0</v>
      </c>
      <c r="AN279" s="17">
        <f t="shared" si="519"/>
        <v>0</v>
      </c>
      <c r="AO279" s="17">
        <f t="shared" si="519"/>
        <v>0</v>
      </c>
      <c r="AP279" s="18">
        <f t="shared" ref="AP279:AQ279" si="520">IF(AM279=0,0,AN279/AM279)</f>
        <v>0</v>
      </c>
      <c r="AQ279" s="18">
        <f t="shared" si="520"/>
        <v>0</v>
      </c>
    </row>
    <row r="280" ht="15.75" customHeight="1">
      <c r="A280" s="10">
        <v>46275.0</v>
      </c>
      <c r="B280" s="11" t="s">
        <v>22</v>
      </c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7">
        <f t="shared" ref="AM280:AO280" si="521">C280+F280+I280+L280+O280+R280+U280+X280+AA280+AD280+AG280+AJ280</f>
        <v>0</v>
      </c>
      <c r="AN280" s="17">
        <f t="shared" si="521"/>
        <v>0</v>
      </c>
      <c r="AO280" s="17">
        <f t="shared" si="521"/>
        <v>0</v>
      </c>
      <c r="AP280" s="18">
        <f t="shared" ref="AP280:AQ280" si="522">IF(AM280=0,0,AN280/AM280)</f>
        <v>0</v>
      </c>
      <c r="AQ280" s="18">
        <f t="shared" si="522"/>
        <v>0</v>
      </c>
    </row>
    <row r="281" ht="15.75" customHeight="1">
      <c r="A281" s="10">
        <v>46276.0</v>
      </c>
      <c r="B281" s="11" t="s">
        <v>23</v>
      </c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7">
        <f t="shared" ref="AM281:AO281" si="523">C281+F281+I281+L281+O281+R281+U281+X281+AA281+AD281+AG281+AJ281</f>
        <v>0</v>
      </c>
      <c r="AN281" s="17">
        <f t="shared" si="523"/>
        <v>0</v>
      </c>
      <c r="AO281" s="17">
        <f t="shared" si="523"/>
        <v>0</v>
      </c>
      <c r="AP281" s="18">
        <f t="shared" ref="AP281:AQ281" si="524">IF(AM281=0,0,AN281/AM281)</f>
        <v>0</v>
      </c>
      <c r="AQ281" s="18">
        <f t="shared" si="524"/>
        <v>0</v>
      </c>
    </row>
    <row r="282" ht="15.75" customHeight="1">
      <c r="A282" s="10">
        <v>46277.0</v>
      </c>
      <c r="B282" s="11" t="s">
        <v>24</v>
      </c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7">
        <f t="shared" ref="AM282:AO282" si="525">C282+F282+I282+L282+O282+R282+U282+X282+AA282+AD282+AG282+AJ282</f>
        <v>0</v>
      </c>
      <c r="AN282" s="17">
        <f t="shared" si="525"/>
        <v>0</v>
      </c>
      <c r="AO282" s="17">
        <f t="shared" si="525"/>
        <v>0</v>
      </c>
      <c r="AP282" s="18">
        <f t="shared" ref="AP282:AQ282" si="526">IF(AM282=0,0,AN282/AM282)</f>
        <v>0</v>
      </c>
      <c r="AQ282" s="18">
        <f t="shared" si="526"/>
        <v>0</v>
      </c>
    </row>
    <row r="283" ht="15.75" customHeight="1">
      <c r="A283" s="10">
        <v>46278.0</v>
      </c>
      <c r="B283" s="11" t="s">
        <v>25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7">
        <f t="shared" ref="AM283:AO283" si="527">C283+F283+I283+L283+O283+R283+U283+X283+AA283+AD283+AG283+AJ283</f>
        <v>0</v>
      </c>
      <c r="AN283" s="17">
        <f t="shared" si="527"/>
        <v>0</v>
      </c>
      <c r="AO283" s="17">
        <f t="shared" si="527"/>
        <v>0</v>
      </c>
      <c r="AP283" s="18">
        <f t="shared" ref="AP283:AQ283" si="528">IF(AM283=0,0,AN283/AM283)</f>
        <v>0</v>
      </c>
      <c r="AQ283" s="18">
        <f t="shared" si="528"/>
        <v>0</v>
      </c>
    </row>
    <row r="284" ht="15.75" customHeight="1">
      <c r="A284" s="10">
        <v>46279.0</v>
      </c>
      <c r="B284" s="11" t="s">
        <v>26</v>
      </c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7">
        <f t="shared" ref="AM284:AO284" si="529">C284+F284+I284+L284+O284+R284+U284+X284+AA284+AD284+AG284+AJ284</f>
        <v>0</v>
      </c>
      <c r="AN284" s="17">
        <f t="shared" si="529"/>
        <v>0</v>
      </c>
      <c r="AO284" s="17">
        <f t="shared" si="529"/>
        <v>0</v>
      </c>
      <c r="AP284" s="18">
        <f t="shared" ref="AP284:AQ284" si="530">IF(AM284=0,0,AN284/AM284)</f>
        <v>0</v>
      </c>
      <c r="AQ284" s="18">
        <f t="shared" si="530"/>
        <v>0</v>
      </c>
    </row>
    <row r="285" ht="15.75" customHeight="1">
      <c r="A285" s="10">
        <v>46280.0</v>
      </c>
      <c r="B285" s="11" t="s">
        <v>27</v>
      </c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7">
        <f t="shared" ref="AM285:AO285" si="531">C285+F285+I285+L285+O285+R285+U285+X285+AA285+AD285+AG285+AJ285</f>
        <v>0</v>
      </c>
      <c r="AN285" s="17">
        <f t="shared" si="531"/>
        <v>0</v>
      </c>
      <c r="AO285" s="17">
        <f t="shared" si="531"/>
        <v>0</v>
      </c>
      <c r="AP285" s="18">
        <f t="shared" ref="AP285:AQ285" si="532">IF(AM285=0,0,AN285/AM285)</f>
        <v>0</v>
      </c>
      <c r="AQ285" s="18">
        <f t="shared" si="532"/>
        <v>0</v>
      </c>
    </row>
    <row r="286" ht="15.75" customHeight="1">
      <c r="A286" s="10">
        <v>46281.0</v>
      </c>
      <c r="B286" s="11" t="s">
        <v>28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7">
        <f t="shared" ref="AM286:AO286" si="533">C286+F286+I286+L286+O286+R286+U286+X286+AA286+AD286+AG286+AJ286</f>
        <v>0</v>
      </c>
      <c r="AN286" s="17">
        <f t="shared" si="533"/>
        <v>0</v>
      </c>
      <c r="AO286" s="17">
        <f t="shared" si="533"/>
        <v>0</v>
      </c>
      <c r="AP286" s="18">
        <f t="shared" ref="AP286:AQ286" si="534">IF(AM286=0,0,AN286/AM286)</f>
        <v>0</v>
      </c>
      <c r="AQ286" s="18">
        <f t="shared" si="534"/>
        <v>0</v>
      </c>
    </row>
    <row r="287" ht="15.75" customHeight="1">
      <c r="A287" s="10">
        <v>46282.0</v>
      </c>
      <c r="B287" s="11" t="s">
        <v>22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7">
        <f t="shared" ref="AM287:AO287" si="535">C287+F287+I287+L287+O287+R287+U287+X287+AA287+AD287+AG287+AJ287</f>
        <v>0</v>
      </c>
      <c r="AN287" s="17">
        <f t="shared" si="535"/>
        <v>0</v>
      </c>
      <c r="AO287" s="17">
        <f t="shared" si="535"/>
        <v>0</v>
      </c>
      <c r="AP287" s="18">
        <f t="shared" ref="AP287:AQ287" si="536">IF(AM287=0,0,AN287/AM287)</f>
        <v>0</v>
      </c>
      <c r="AQ287" s="18">
        <f t="shared" si="536"/>
        <v>0</v>
      </c>
    </row>
    <row r="288" ht="15.75" customHeight="1">
      <c r="A288" s="10">
        <v>46283.0</v>
      </c>
      <c r="B288" s="11" t="s">
        <v>23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7">
        <f t="shared" ref="AM288:AO288" si="537">C288+F288+I288+L288+O288+R288+U288+X288+AA288+AD288+AG288+AJ288</f>
        <v>0</v>
      </c>
      <c r="AN288" s="17">
        <f t="shared" si="537"/>
        <v>0</v>
      </c>
      <c r="AO288" s="17">
        <f t="shared" si="537"/>
        <v>0</v>
      </c>
      <c r="AP288" s="18">
        <f t="shared" ref="AP288:AQ288" si="538">IF(AM288=0,0,AN288/AM288)</f>
        <v>0</v>
      </c>
      <c r="AQ288" s="18">
        <f t="shared" si="538"/>
        <v>0</v>
      </c>
    </row>
    <row r="289" ht="15.75" customHeight="1">
      <c r="A289" s="10">
        <v>46284.0</v>
      </c>
      <c r="B289" s="11" t="s">
        <v>24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7">
        <f t="shared" ref="AM289:AO289" si="539">C289+F289+I289+L289+O289+R289+U289+X289+AA289+AD289+AG289+AJ289</f>
        <v>0</v>
      </c>
      <c r="AN289" s="17">
        <f t="shared" si="539"/>
        <v>0</v>
      </c>
      <c r="AO289" s="17">
        <f t="shared" si="539"/>
        <v>0</v>
      </c>
      <c r="AP289" s="18">
        <f t="shared" ref="AP289:AQ289" si="540">IF(AM289=0,0,AN289/AM289)</f>
        <v>0</v>
      </c>
      <c r="AQ289" s="18">
        <f t="shared" si="540"/>
        <v>0</v>
      </c>
    </row>
    <row r="290" ht="15.75" customHeight="1">
      <c r="A290" s="10">
        <v>46285.0</v>
      </c>
      <c r="B290" s="11" t="s">
        <v>25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7">
        <f t="shared" ref="AM290:AO290" si="541">C290+F290+I290+L290+O290+R290+U290+X290+AA290+AD290+AG290+AJ290</f>
        <v>0</v>
      </c>
      <c r="AN290" s="17">
        <f t="shared" si="541"/>
        <v>0</v>
      </c>
      <c r="AO290" s="17">
        <f t="shared" si="541"/>
        <v>0</v>
      </c>
      <c r="AP290" s="18">
        <f t="shared" ref="AP290:AQ290" si="542">IF(AM290=0,0,AN290/AM290)</f>
        <v>0</v>
      </c>
      <c r="AQ290" s="18">
        <f t="shared" si="542"/>
        <v>0</v>
      </c>
    </row>
    <row r="291" ht="15.75" customHeight="1">
      <c r="A291" s="10">
        <v>46286.0</v>
      </c>
      <c r="B291" s="11" t="s">
        <v>26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7">
        <f t="shared" ref="AM291:AO291" si="543">C291+F291+I291+L291+O291+R291+U291+X291+AA291+AD291+AG291+AJ291</f>
        <v>0</v>
      </c>
      <c r="AN291" s="17">
        <f t="shared" si="543"/>
        <v>0</v>
      </c>
      <c r="AO291" s="17">
        <f t="shared" si="543"/>
        <v>0</v>
      </c>
      <c r="AP291" s="18">
        <f t="shared" ref="AP291:AQ291" si="544">IF(AM291=0,0,AN291/AM291)</f>
        <v>0</v>
      </c>
      <c r="AQ291" s="18">
        <f t="shared" si="544"/>
        <v>0</v>
      </c>
    </row>
    <row r="292" ht="15.75" customHeight="1">
      <c r="A292" s="10">
        <v>46287.0</v>
      </c>
      <c r="B292" s="11" t="s">
        <v>27</v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7">
        <f t="shared" ref="AM292:AO292" si="545">C292+F292+I292+L292+O292+R292+U292+X292+AA292+AD292+AG292+AJ292</f>
        <v>0</v>
      </c>
      <c r="AN292" s="17">
        <f t="shared" si="545"/>
        <v>0</v>
      </c>
      <c r="AO292" s="17">
        <f t="shared" si="545"/>
        <v>0</v>
      </c>
      <c r="AP292" s="18">
        <f t="shared" ref="AP292:AQ292" si="546">IF(AM292=0,0,AN292/AM292)</f>
        <v>0</v>
      </c>
      <c r="AQ292" s="18">
        <f t="shared" si="546"/>
        <v>0</v>
      </c>
    </row>
    <row r="293" ht="15.75" customHeight="1">
      <c r="A293" s="10">
        <v>46288.0</v>
      </c>
      <c r="B293" s="11" t="s">
        <v>28</v>
      </c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7">
        <f t="shared" ref="AM293:AO293" si="547">C293+F293+I293+L293+O293+R293+U293+X293+AA293+AD293+AG293+AJ293</f>
        <v>0</v>
      </c>
      <c r="AN293" s="17">
        <f t="shared" si="547"/>
        <v>0</v>
      </c>
      <c r="AO293" s="17">
        <f t="shared" si="547"/>
        <v>0</v>
      </c>
      <c r="AP293" s="18">
        <f t="shared" ref="AP293:AQ293" si="548">IF(AM293=0,0,AN293/AM293)</f>
        <v>0</v>
      </c>
      <c r="AQ293" s="18">
        <f t="shared" si="548"/>
        <v>0</v>
      </c>
    </row>
    <row r="294" ht="15.75" customHeight="1">
      <c r="A294" s="10">
        <v>46289.0</v>
      </c>
      <c r="B294" s="11" t="s">
        <v>22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7">
        <f t="shared" ref="AM294:AO294" si="549">C294+F294+I294+L294+O294+R294+U294+X294+AA294+AD294+AG294+AJ294</f>
        <v>0</v>
      </c>
      <c r="AN294" s="17">
        <f t="shared" si="549"/>
        <v>0</v>
      </c>
      <c r="AO294" s="17">
        <f t="shared" si="549"/>
        <v>0</v>
      </c>
      <c r="AP294" s="18">
        <f t="shared" ref="AP294:AQ294" si="550">IF(AM294=0,0,AN294/AM294)</f>
        <v>0</v>
      </c>
      <c r="AQ294" s="18">
        <f t="shared" si="550"/>
        <v>0</v>
      </c>
    </row>
    <row r="295" ht="15.75" customHeight="1">
      <c r="A295" s="10">
        <v>46290.0</v>
      </c>
      <c r="B295" s="11" t="s">
        <v>23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7">
        <f t="shared" ref="AM295:AO295" si="551">C295+F295+I295+L295+O295+R295+U295+X295+AA295+AD295+AG295+AJ295</f>
        <v>0</v>
      </c>
      <c r="AN295" s="17">
        <f t="shared" si="551"/>
        <v>0</v>
      </c>
      <c r="AO295" s="17">
        <f t="shared" si="551"/>
        <v>0</v>
      </c>
      <c r="AP295" s="18">
        <f t="shared" ref="AP295:AQ295" si="552">IF(AM295=0,0,AN295/AM295)</f>
        <v>0</v>
      </c>
      <c r="AQ295" s="18">
        <f t="shared" si="552"/>
        <v>0</v>
      </c>
    </row>
    <row r="296" ht="15.75" customHeight="1">
      <c r="A296" s="10">
        <v>46291.0</v>
      </c>
      <c r="B296" s="11" t="s">
        <v>24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7">
        <f t="shared" ref="AM296:AO296" si="553">C296+F296+I296+L296+O296+R296+U296+X296+AA296+AD296+AG296+AJ296</f>
        <v>0</v>
      </c>
      <c r="AN296" s="17">
        <f t="shared" si="553"/>
        <v>0</v>
      </c>
      <c r="AO296" s="17">
        <f t="shared" si="553"/>
        <v>0</v>
      </c>
      <c r="AP296" s="18">
        <f t="shared" ref="AP296:AQ296" si="554">IF(AM296=0,0,AN296/AM296)</f>
        <v>0</v>
      </c>
      <c r="AQ296" s="18">
        <f t="shared" si="554"/>
        <v>0</v>
      </c>
    </row>
    <row r="297" ht="15.75" customHeight="1">
      <c r="A297" s="10">
        <v>46292.0</v>
      </c>
      <c r="B297" s="11" t="s">
        <v>25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7">
        <f t="shared" ref="AM297:AO297" si="555">C297+F297+I297+L297+O297+R297+U297+X297+AA297+AD297+AG297+AJ297</f>
        <v>0</v>
      </c>
      <c r="AN297" s="17">
        <f t="shared" si="555"/>
        <v>0</v>
      </c>
      <c r="AO297" s="17">
        <f t="shared" si="555"/>
        <v>0</v>
      </c>
      <c r="AP297" s="18">
        <f t="shared" ref="AP297:AQ297" si="556">IF(AM297=0,0,AN297/AM297)</f>
        <v>0</v>
      </c>
      <c r="AQ297" s="18">
        <f t="shared" si="556"/>
        <v>0</v>
      </c>
    </row>
    <row r="298" ht="15.75" customHeight="1">
      <c r="A298" s="10">
        <v>46293.0</v>
      </c>
      <c r="B298" s="11" t="s">
        <v>26</v>
      </c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7">
        <f t="shared" ref="AM298:AO298" si="557">C298+F298+I298+L298+O298+R298+U298+X298+AA298+AD298+AG298+AJ298</f>
        <v>0</v>
      </c>
      <c r="AN298" s="17">
        <f t="shared" si="557"/>
        <v>0</v>
      </c>
      <c r="AO298" s="17">
        <f t="shared" si="557"/>
        <v>0</v>
      </c>
      <c r="AP298" s="18">
        <f t="shared" ref="AP298:AQ298" si="558">IF(AM298=0,0,AN298/AM298)</f>
        <v>0</v>
      </c>
      <c r="AQ298" s="18">
        <f t="shared" si="558"/>
        <v>0</v>
      </c>
    </row>
    <row r="299" ht="15.75" customHeight="1">
      <c r="A299" s="10">
        <v>46294.0</v>
      </c>
      <c r="B299" s="11" t="s">
        <v>27</v>
      </c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7">
        <f t="shared" ref="AM299:AO299" si="559">C299+F299+I299+L299+O299+R299+U299+X299+AA299+AD299+AG299+AJ299</f>
        <v>0</v>
      </c>
      <c r="AN299" s="17">
        <f t="shared" si="559"/>
        <v>0</v>
      </c>
      <c r="AO299" s="17">
        <f t="shared" si="559"/>
        <v>0</v>
      </c>
      <c r="AP299" s="18">
        <f t="shared" ref="AP299:AQ299" si="560">IF(AM299=0,0,AN299/AM299)</f>
        <v>0</v>
      </c>
      <c r="AQ299" s="18">
        <f t="shared" si="560"/>
        <v>0</v>
      </c>
    </row>
    <row r="300" ht="15.75" customHeight="1">
      <c r="A300" s="10">
        <v>46295.0</v>
      </c>
      <c r="B300" s="11" t="s">
        <v>28</v>
      </c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7">
        <f t="shared" ref="AM300:AO300" si="561">C300+F300+I300+L300+O300+R300+U300+X300+AA300+AD300+AG300+AJ300</f>
        <v>0</v>
      </c>
      <c r="AN300" s="17">
        <f t="shared" si="561"/>
        <v>0</v>
      </c>
      <c r="AO300" s="17">
        <f t="shared" si="561"/>
        <v>0</v>
      </c>
      <c r="AP300" s="18">
        <f t="shared" ref="AP300:AQ300" si="562">IF(AM300=0,0,AN300/AM300)</f>
        <v>0</v>
      </c>
      <c r="AQ300" s="18">
        <f t="shared" si="562"/>
        <v>0</v>
      </c>
    </row>
    <row r="301" ht="15.75" customHeight="1">
      <c r="A301" s="26" t="s">
        <v>45</v>
      </c>
      <c r="B301" s="27"/>
      <c r="C301" s="28">
        <f t="shared" ref="C301:AO301" si="563">SUM(C271:C300)</f>
        <v>0</v>
      </c>
      <c r="D301" s="28">
        <f t="shared" si="563"/>
        <v>0</v>
      </c>
      <c r="E301" s="28">
        <f t="shared" si="563"/>
        <v>0</v>
      </c>
      <c r="F301" s="28">
        <f t="shared" si="563"/>
        <v>0</v>
      </c>
      <c r="G301" s="28">
        <f t="shared" si="563"/>
        <v>0</v>
      </c>
      <c r="H301" s="28">
        <f t="shared" si="563"/>
        <v>0</v>
      </c>
      <c r="I301" s="28">
        <f t="shared" si="563"/>
        <v>0</v>
      </c>
      <c r="J301" s="28">
        <f t="shared" si="563"/>
        <v>0</v>
      </c>
      <c r="K301" s="28">
        <f t="shared" si="563"/>
        <v>0</v>
      </c>
      <c r="L301" s="28">
        <f t="shared" si="563"/>
        <v>0</v>
      </c>
      <c r="M301" s="28">
        <f t="shared" si="563"/>
        <v>0</v>
      </c>
      <c r="N301" s="28">
        <f t="shared" si="563"/>
        <v>0</v>
      </c>
      <c r="O301" s="28">
        <f t="shared" si="563"/>
        <v>0</v>
      </c>
      <c r="P301" s="28">
        <f t="shared" si="563"/>
        <v>0</v>
      </c>
      <c r="Q301" s="28">
        <f t="shared" si="563"/>
        <v>0</v>
      </c>
      <c r="R301" s="28">
        <f t="shared" si="563"/>
        <v>0</v>
      </c>
      <c r="S301" s="28">
        <f t="shared" si="563"/>
        <v>0</v>
      </c>
      <c r="T301" s="28">
        <f t="shared" si="563"/>
        <v>0</v>
      </c>
      <c r="U301" s="28">
        <f t="shared" si="563"/>
        <v>0</v>
      </c>
      <c r="V301" s="28">
        <f t="shared" si="563"/>
        <v>0</v>
      </c>
      <c r="W301" s="28">
        <f t="shared" si="563"/>
        <v>0</v>
      </c>
      <c r="X301" s="28">
        <f t="shared" si="563"/>
        <v>0</v>
      </c>
      <c r="Y301" s="28">
        <f t="shared" si="563"/>
        <v>0</v>
      </c>
      <c r="Z301" s="28">
        <f t="shared" si="563"/>
        <v>0</v>
      </c>
      <c r="AA301" s="28">
        <f t="shared" si="563"/>
        <v>0</v>
      </c>
      <c r="AB301" s="28">
        <f t="shared" si="563"/>
        <v>0</v>
      </c>
      <c r="AC301" s="28">
        <f t="shared" si="563"/>
        <v>0</v>
      </c>
      <c r="AD301" s="28">
        <f t="shared" si="563"/>
        <v>0</v>
      </c>
      <c r="AE301" s="28">
        <f t="shared" si="563"/>
        <v>0</v>
      </c>
      <c r="AF301" s="28">
        <f t="shared" si="563"/>
        <v>0</v>
      </c>
      <c r="AG301" s="28">
        <f t="shared" si="563"/>
        <v>0</v>
      </c>
      <c r="AH301" s="28">
        <f t="shared" si="563"/>
        <v>0</v>
      </c>
      <c r="AI301" s="28">
        <f t="shared" si="563"/>
        <v>0</v>
      </c>
      <c r="AJ301" s="28">
        <f t="shared" si="563"/>
        <v>0</v>
      </c>
      <c r="AK301" s="28">
        <f t="shared" si="563"/>
        <v>0</v>
      </c>
      <c r="AL301" s="28">
        <f t="shared" si="563"/>
        <v>0</v>
      </c>
      <c r="AM301" s="29">
        <f t="shared" si="563"/>
        <v>0</v>
      </c>
      <c r="AN301" s="29">
        <f t="shared" si="563"/>
        <v>0</v>
      </c>
      <c r="AO301" s="29">
        <f t="shared" si="563"/>
        <v>0</v>
      </c>
      <c r="AP301" s="30">
        <f t="shared" ref="AP301:AQ301" si="564">IF(AM301=0,0,AN301/AM301)</f>
        <v>0</v>
      </c>
      <c r="AQ301" s="30">
        <f t="shared" si="564"/>
        <v>0</v>
      </c>
    </row>
    <row r="302" ht="15.75" customHeight="1"/>
    <row r="303" ht="27.75" customHeight="1">
      <c r="A303" s="9" t="s">
        <v>46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5"/>
    </row>
    <row r="304" ht="15.75" customHeight="1">
      <c r="A304" s="10">
        <v>46296.0</v>
      </c>
      <c r="B304" s="11" t="s">
        <v>22</v>
      </c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7">
        <f t="shared" ref="AM304:AO304" si="565">C304+F304+I304+L304+O304+R304+U304+X304+AA304+AD304+AG304+AJ304</f>
        <v>0</v>
      </c>
      <c r="AN304" s="17">
        <f t="shared" si="565"/>
        <v>0</v>
      </c>
      <c r="AO304" s="17">
        <f t="shared" si="565"/>
        <v>0</v>
      </c>
      <c r="AP304" s="18">
        <f t="shared" ref="AP304:AQ304" si="566">IF(AM304=0,0,AN304/AM304)</f>
        <v>0</v>
      </c>
      <c r="AQ304" s="18">
        <f t="shared" si="566"/>
        <v>0</v>
      </c>
    </row>
    <row r="305" ht="15.75" customHeight="1">
      <c r="A305" s="10">
        <v>46297.0</v>
      </c>
      <c r="B305" s="11" t="s">
        <v>23</v>
      </c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7">
        <f t="shared" ref="AM305:AO305" si="567">C305+F305+I305+L305+O305+R305+U305+X305+AA305+AD305+AG305+AJ305</f>
        <v>0</v>
      </c>
      <c r="AN305" s="17">
        <f t="shared" si="567"/>
        <v>0</v>
      </c>
      <c r="AO305" s="17">
        <f t="shared" si="567"/>
        <v>0</v>
      </c>
      <c r="AP305" s="18">
        <f t="shared" ref="AP305:AQ305" si="568">IF(AM305=0,0,AN305/AM305)</f>
        <v>0</v>
      </c>
      <c r="AQ305" s="18">
        <f t="shared" si="568"/>
        <v>0</v>
      </c>
    </row>
    <row r="306" ht="15.75" customHeight="1">
      <c r="A306" s="10">
        <v>46298.0</v>
      </c>
      <c r="B306" s="11" t="s">
        <v>24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7">
        <f t="shared" ref="AM306:AO306" si="569">C306+F306+I306+L306+O306+R306+U306+X306+AA306+AD306+AG306+AJ306</f>
        <v>0</v>
      </c>
      <c r="AN306" s="17">
        <f t="shared" si="569"/>
        <v>0</v>
      </c>
      <c r="AO306" s="17">
        <f t="shared" si="569"/>
        <v>0</v>
      </c>
      <c r="AP306" s="18">
        <f t="shared" ref="AP306:AQ306" si="570">IF(AM306=0,0,AN306/AM306)</f>
        <v>0</v>
      </c>
      <c r="AQ306" s="18">
        <f t="shared" si="570"/>
        <v>0</v>
      </c>
    </row>
    <row r="307" ht="15.75" customHeight="1">
      <c r="A307" s="10">
        <v>46299.0</v>
      </c>
      <c r="B307" s="11" t="s">
        <v>25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7">
        <f t="shared" ref="AM307:AO307" si="571">C307+F307+I307+L307+O307+R307+U307+X307+AA307+AD307+AG307+AJ307</f>
        <v>0</v>
      </c>
      <c r="AN307" s="17">
        <f t="shared" si="571"/>
        <v>0</v>
      </c>
      <c r="AO307" s="17">
        <f t="shared" si="571"/>
        <v>0</v>
      </c>
      <c r="AP307" s="18">
        <f t="shared" ref="AP307:AQ307" si="572">IF(AM307=0,0,AN307/AM307)</f>
        <v>0</v>
      </c>
      <c r="AQ307" s="18">
        <f t="shared" si="572"/>
        <v>0</v>
      </c>
    </row>
    <row r="308" ht="15.75" customHeight="1">
      <c r="A308" s="10">
        <v>46300.0</v>
      </c>
      <c r="B308" s="11" t="s">
        <v>26</v>
      </c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7">
        <f t="shared" ref="AM308:AO308" si="573">C308+F308+I308+L308+O308+R308+U308+X308+AA308+AD308+AG308+AJ308</f>
        <v>0</v>
      </c>
      <c r="AN308" s="17">
        <f t="shared" si="573"/>
        <v>0</v>
      </c>
      <c r="AO308" s="17">
        <f t="shared" si="573"/>
        <v>0</v>
      </c>
      <c r="AP308" s="18">
        <f t="shared" ref="AP308:AQ308" si="574">IF(AM308=0,0,AN308/AM308)</f>
        <v>0</v>
      </c>
      <c r="AQ308" s="18">
        <f t="shared" si="574"/>
        <v>0</v>
      </c>
    </row>
    <row r="309" ht="15.75" customHeight="1">
      <c r="A309" s="10">
        <v>46301.0</v>
      </c>
      <c r="B309" s="11" t="s">
        <v>27</v>
      </c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7">
        <f t="shared" ref="AM309:AO309" si="575">C309+F309+I309+L309+O309+R309+U309+X309+AA309+AD309+AG309+AJ309</f>
        <v>0</v>
      </c>
      <c r="AN309" s="17">
        <f t="shared" si="575"/>
        <v>0</v>
      </c>
      <c r="AO309" s="17">
        <f t="shared" si="575"/>
        <v>0</v>
      </c>
      <c r="AP309" s="18">
        <f t="shared" ref="AP309:AQ309" si="576">IF(AM309=0,0,AN309/AM309)</f>
        <v>0</v>
      </c>
      <c r="AQ309" s="18">
        <f t="shared" si="576"/>
        <v>0</v>
      </c>
    </row>
    <row r="310" ht="15.75" customHeight="1">
      <c r="A310" s="10">
        <v>46302.0</v>
      </c>
      <c r="B310" s="11" t="s">
        <v>28</v>
      </c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7">
        <f t="shared" ref="AM310:AO310" si="577">C310+F310+I310+L310+O310+R310+U310+X310+AA310+AD310+AG310+AJ310</f>
        <v>0</v>
      </c>
      <c r="AN310" s="17">
        <f t="shared" si="577"/>
        <v>0</v>
      </c>
      <c r="AO310" s="17">
        <f t="shared" si="577"/>
        <v>0</v>
      </c>
      <c r="AP310" s="18">
        <f t="shared" ref="AP310:AQ310" si="578">IF(AM310=0,0,AN310/AM310)</f>
        <v>0</v>
      </c>
      <c r="AQ310" s="18">
        <f t="shared" si="578"/>
        <v>0</v>
      </c>
    </row>
    <row r="311" ht="15.75" customHeight="1">
      <c r="A311" s="10">
        <v>46303.0</v>
      </c>
      <c r="B311" s="11" t="s">
        <v>22</v>
      </c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7">
        <f t="shared" ref="AM311:AO311" si="579">C311+F311+I311+L311+O311+R311+U311+X311+AA311+AD311+AG311+AJ311</f>
        <v>0</v>
      </c>
      <c r="AN311" s="17">
        <f t="shared" si="579"/>
        <v>0</v>
      </c>
      <c r="AO311" s="17">
        <f t="shared" si="579"/>
        <v>0</v>
      </c>
      <c r="AP311" s="18">
        <f t="shared" ref="AP311:AQ311" si="580">IF(AM311=0,0,AN311/AM311)</f>
        <v>0</v>
      </c>
      <c r="AQ311" s="18">
        <f t="shared" si="580"/>
        <v>0</v>
      </c>
    </row>
    <row r="312" ht="15.75" customHeight="1">
      <c r="A312" s="10">
        <v>46304.0</v>
      </c>
      <c r="B312" s="11" t="s">
        <v>23</v>
      </c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7">
        <f t="shared" ref="AM312:AO312" si="581">C312+F312+I312+L312+O312+R312+U312+X312+AA312+AD312+AG312+AJ312</f>
        <v>0</v>
      </c>
      <c r="AN312" s="17">
        <f t="shared" si="581"/>
        <v>0</v>
      </c>
      <c r="AO312" s="17">
        <f t="shared" si="581"/>
        <v>0</v>
      </c>
      <c r="AP312" s="18">
        <f t="shared" ref="AP312:AQ312" si="582">IF(AM312=0,0,AN312/AM312)</f>
        <v>0</v>
      </c>
      <c r="AQ312" s="18">
        <f t="shared" si="582"/>
        <v>0</v>
      </c>
    </row>
    <row r="313" ht="15.75" customHeight="1">
      <c r="A313" s="10">
        <v>46305.0</v>
      </c>
      <c r="B313" s="11" t="s">
        <v>24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7">
        <f t="shared" ref="AM313:AO313" si="583">C313+F313+I313+L313+O313+R313+U313+X313+AA313+AD313+AG313+AJ313</f>
        <v>0</v>
      </c>
      <c r="AN313" s="17">
        <f t="shared" si="583"/>
        <v>0</v>
      </c>
      <c r="AO313" s="17">
        <f t="shared" si="583"/>
        <v>0</v>
      </c>
      <c r="AP313" s="18">
        <f t="shared" ref="AP313:AQ313" si="584">IF(AM313=0,0,AN313/AM313)</f>
        <v>0</v>
      </c>
      <c r="AQ313" s="18">
        <f t="shared" si="584"/>
        <v>0</v>
      </c>
    </row>
    <row r="314" ht="15.75" customHeight="1">
      <c r="A314" s="10">
        <v>46306.0</v>
      </c>
      <c r="B314" s="11" t="s">
        <v>25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7">
        <f t="shared" ref="AM314:AO314" si="585">C314+F314+I314+L314+O314+R314+U314+X314+AA314+AD314+AG314+AJ314</f>
        <v>0</v>
      </c>
      <c r="AN314" s="17">
        <f t="shared" si="585"/>
        <v>0</v>
      </c>
      <c r="AO314" s="17">
        <f t="shared" si="585"/>
        <v>0</v>
      </c>
      <c r="AP314" s="18">
        <f t="shared" ref="AP314:AQ314" si="586">IF(AM314=0,0,AN314/AM314)</f>
        <v>0</v>
      </c>
      <c r="AQ314" s="18">
        <f t="shared" si="586"/>
        <v>0</v>
      </c>
    </row>
    <row r="315" ht="15.75" customHeight="1">
      <c r="A315" s="10">
        <v>46307.0</v>
      </c>
      <c r="B315" s="11" t="s">
        <v>26</v>
      </c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7">
        <f t="shared" ref="AM315:AO315" si="587">C315+F315+I315+L315+O315+R315+U315+X315+AA315+AD315+AG315+AJ315</f>
        <v>0</v>
      </c>
      <c r="AN315" s="17">
        <f t="shared" si="587"/>
        <v>0</v>
      </c>
      <c r="AO315" s="17">
        <f t="shared" si="587"/>
        <v>0</v>
      </c>
      <c r="AP315" s="18">
        <f t="shared" ref="AP315:AQ315" si="588">IF(AM315=0,0,AN315/AM315)</f>
        <v>0</v>
      </c>
      <c r="AQ315" s="18">
        <f t="shared" si="588"/>
        <v>0</v>
      </c>
    </row>
    <row r="316" ht="15.75" customHeight="1">
      <c r="A316" s="10">
        <v>46308.0</v>
      </c>
      <c r="B316" s="11" t="s">
        <v>27</v>
      </c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7">
        <f t="shared" ref="AM316:AO316" si="589">C316+F316+I316+L316+O316+R316+U316+X316+AA316+AD316+AG316+AJ316</f>
        <v>0</v>
      </c>
      <c r="AN316" s="17">
        <f t="shared" si="589"/>
        <v>0</v>
      </c>
      <c r="AO316" s="17">
        <f t="shared" si="589"/>
        <v>0</v>
      </c>
      <c r="AP316" s="18">
        <f t="shared" ref="AP316:AQ316" si="590">IF(AM316=0,0,AN316/AM316)</f>
        <v>0</v>
      </c>
      <c r="AQ316" s="18">
        <f t="shared" si="590"/>
        <v>0</v>
      </c>
    </row>
    <row r="317" ht="15.75" customHeight="1">
      <c r="A317" s="10">
        <v>46309.0</v>
      </c>
      <c r="B317" s="11" t="s">
        <v>28</v>
      </c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7">
        <f t="shared" ref="AM317:AO317" si="591">C317+F317+I317+L317+O317+R317+U317+X317+AA317+AD317+AG317+AJ317</f>
        <v>0</v>
      </c>
      <c r="AN317" s="17">
        <f t="shared" si="591"/>
        <v>0</v>
      </c>
      <c r="AO317" s="17">
        <f t="shared" si="591"/>
        <v>0</v>
      </c>
      <c r="AP317" s="18">
        <f t="shared" ref="AP317:AQ317" si="592">IF(AM317=0,0,AN317/AM317)</f>
        <v>0</v>
      </c>
      <c r="AQ317" s="18">
        <f t="shared" si="592"/>
        <v>0</v>
      </c>
    </row>
    <row r="318" ht="15.75" customHeight="1">
      <c r="A318" s="10">
        <v>46310.0</v>
      </c>
      <c r="B318" s="11" t="s">
        <v>22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7">
        <f t="shared" ref="AM318:AO318" si="593">C318+F318+I318+L318+O318+R318+U318+X318+AA318+AD318+AG318+AJ318</f>
        <v>0</v>
      </c>
      <c r="AN318" s="17">
        <f t="shared" si="593"/>
        <v>0</v>
      </c>
      <c r="AO318" s="17">
        <f t="shared" si="593"/>
        <v>0</v>
      </c>
      <c r="AP318" s="18">
        <f t="shared" ref="AP318:AQ318" si="594">IF(AM318=0,0,AN318/AM318)</f>
        <v>0</v>
      </c>
      <c r="AQ318" s="18">
        <f t="shared" si="594"/>
        <v>0</v>
      </c>
    </row>
    <row r="319" ht="15.75" customHeight="1">
      <c r="A319" s="10">
        <v>46311.0</v>
      </c>
      <c r="B319" s="11" t="s">
        <v>23</v>
      </c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7">
        <f t="shared" ref="AM319:AO319" si="595">C319+F319+I319+L319+O319+R319+U319+X319+AA319+AD319+AG319+AJ319</f>
        <v>0</v>
      </c>
      <c r="AN319" s="17">
        <f t="shared" si="595"/>
        <v>0</v>
      </c>
      <c r="AO319" s="17">
        <f t="shared" si="595"/>
        <v>0</v>
      </c>
      <c r="AP319" s="18">
        <f t="shared" ref="AP319:AQ319" si="596">IF(AM319=0,0,AN319/AM319)</f>
        <v>0</v>
      </c>
      <c r="AQ319" s="18">
        <f t="shared" si="596"/>
        <v>0</v>
      </c>
    </row>
    <row r="320" ht="15.75" customHeight="1">
      <c r="A320" s="10">
        <v>46312.0</v>
      </c>
      <c r="B320" s="11" t="s">
        <v>24</v>
      </c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7">
        <f t="shared" ref="AM320:AO320" si="597">C320+F320+I320+L320+O320+R320+U320+X320+AA320+AD320+AG320+AJ320</f>
        <v>0</v>
      </c>
      <c r="AN320" s="17">
        <f t="shared" si="597"/>
        <v>0</v>
      </c>
      <c r="AO320" s="17">
        <f t="shared" si="597"/>
        <v>0</v>
      </c>
      <c r="AP320" s="18">
        <f t="shared" ref="AP320:AQ320" si="598">IF(AM320=0,0,AN320/AM320)</f>
        <v>0</v>
      </c>
      <c r="AQ320" s="18">
        <f t="shared" si="598"/>
        <v>0</v>
      </c>
    </row>
    <row r="321" ht="15.75" customHeight="1">
      <c r="A321" s="10">
        <v>46313.0</v>
      </c>
      <c r="B321" s="11" t="s">
        <v>25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7">
        <f t="shared" ref="AM321:AO321" si="599">C321+F321+I321+L321+O321+R321+U321+X321+AA321+AD321+AG321+AJ321</f>
        <v>0</v>
      </c>
      <c r="AN321" s="17">
        <f t="shared" si="599"/>
        <v>0</v>
      </c>
      <c r="AO321" s="17">
        <f t="shared" si="599"/>
        <v>0</v>
      </c>
      <c r="AP321" s="18">
        <f t="shared" ref="AP321:AQ321" si="600">IF(AM321=0,0,AN321/AM321)</f>
        <v>0</v>
      </c>
      <c r="AQ321" s="18">
        <f t="shared" si="600"/>
        <v>0</v>
      </c>
    </row>
    <row r="322" ht="15.75" customHeight="1">
      <c r="A322" s="10">
        <v>46314.0</v>
      </c>
      <c r="B322" s="11" t="s">
        <v>26</v>
      </c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7">
        <f t="shared" ref="AM322:AO322" si="601">C322+F322+I322+L322+O322+R322+U322+X322+AA322+AD322+AG322+AJ322</f>
        <v>0</v>
      </c>
      <c r="AN322" s="17">
        <f t="shared" si="601"/>
        <v>0</v>
      </c>
      <c r="AO322" s="17">
        <f t="shared" si="601"/>
        <v>0</v>
      </c>
      <c r="AP322" s="18">
        <f t="shared" ref="AP322:AQ322" si="602">IF(AM322=0,0,AN322/AM322)</f>
        <v>0</v>
      </c>
      <c r="AQ322" s="18">
        <f t="shared" si="602"/>
        <v>0</v>
      </c>
    </row>
    <row r="323" ht="15.75" customHeight="1">
      <c r="A323" s="10">
        <v>46315.0</v>
      </c>
      <c r="B323" s="11" t="s">
        <v>27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7">
        <f t="shared" ref="AM323:AO323" si="603">C323+F323+I323+L323+O323+R323+U323+X323+AA323+AD323+AG323+AJ323</f>
        <v>0</v>
      </c>
      <c r="AN323" s="17">
        <f t="shared" si="603"/>
        <v>0</v>
      </c>
      <c r="AO323" s="17">
        <f t="shared" si="603"/>
        <v>0</v>
      </c>
      <c r="AP323" s="18">
        <f t="shared" ref="AP323:AQ323" si="604">IF(AM323=0,0,AN323/AM323)</f>
        <v>0</v>
      </c>
      <c r="AQ323" s="18">
        <f t="shared" si="604"/>
        <v>0</v>
      </c>
    </row>
    <row r="324" ht="15.75" customHeight="1">
      <c r="A324" s="10">
        <v>46316.0</v>
      </c>
      <c r="B324" s="11" t="s">
        <v>28</v>
      </c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7">
        <f t="shared" ref="AM324:AO324" si="605">C324+F324+I324+L324+O324+R324+U324+X324+AA324+AD324+AG324+AJ324</f>
        <v>0</v>
      </c>
      <c r="AN324" s="17">
        <f t="shared" si="605"/>
        <v>0</v>
      </c>
      <c r="AO324" s="17">
        <f t="shared" si="605"/>
        <v>0</v>
      </c>
      <c r="AP324" s="18">
        <f t="shared" ref="AP324:AQ324" si="606">IF(AM324=0,0,AN324/AM324)</f>
        <v>0</v>
      </c>
      <c r="AQ324" s="18">
        <f t="shared" si="606"/>
        <v>0</v>
      </c>
    </row>
    <row r="325" ht="15.75" customHeight="1">
      <c r="A325" s="10">
        <v>46317.0</v>
      </c>
      <c r="B325" s="11" t="s">
        <v>22</v>
      </c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7">
        <f t="shared" ref="AM325:AO325" si="607">C325+F325+I325+L325+O325+R325+U325+X325+AA325+AD325+AG325+AJ325</f>
        <v>0</v>
      </c>
      <c r="AN325" s="17">
        <f t="shared" si="607"/>
        <v>0</v>
      </c>
      <c r="AO325" s="17">
        <f t="shared" si="607"/>
        <v>0</v>
      </c>
      <c r="AP325" s="18">
        <f t="shared" ref="AP325:AQ325" si="608">IF(AM325=0,0,AN325/AM325)</f>
        <v>0</v>
      </c>
      <c r="AQ325" s="18">
        <f t="shared" si="608"/>
        <v>0</v>
      </c>
    </row>
    <row r="326" ht="15.75" customHeight="1">
      <c r="A326" s="10">
        <v>46318.0</v>
      </c>
      <c r="B326" s="11" t="s">
        <v>23</v>
      </c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7">
        <f t="shared" ref="AM326:AO326" si="609">C326+F326+I326+L326+O326+R326+U326+X326+AA326+AD326+AG326+AJ326</f>
        <v>0</v>
      </c>
      <c r="AN326" s="17">
        <f t="shared" si="609"/>
        <v>0</v>
      </c>
      <c r="AO326" s="17">
        <f t="shared" si="609"/>
        <v>0</v>
      </c>
      <c r="AP326" s="18">
        <f t="shared" ref="AP326:AQ326" si="610">IF(AM326=0,0,AN326/AM326)</f>
        <v>0</v>
      </c>
      <c r="AQ326" s="18">
        <f t="shared" si="610"/>
        <v>0</v>
      </c>
    </row>
    <row r="327" ht="15.75" customHeight="1">
      <c r="A327" s="10">
        <v>46319.0</v>
      </c>
      <c r="B327" s="11" t="s">
        <v>24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7">
        <f t="shared" ref="AM327:AO327" si="611">C327+F327+I327+L327+O327+R327+U327+X327+AA327+AD327+AG327+AJ327</f>
        <v>0</v>
      </c>
      <c r="AN327" s="17">
        <f t="shared" si="611"/>
        <v>0</v>
      </c>
      <c r="AO327" s="17">
        <f t="shared" si="611"/>
        <v>0</v>
      </c>
      <c r="AP327" s="18">
        <f t="shared" ref="AP327:AQ327" si="612">IF(AM327=0,0,AN327/AM327)</f>
        <v>0</v>
      </c>
      <c r="AQ327" s="18">
        <f t="shared" si="612"/>
        <v>0</v>
      </c>
    </row>
    <row r="328" ht="15.75" customHeight="1">
      <c r="A328" s="10">
        <v>46320.0</v>
      </c>
      <c r="B328" s="11" t="s">
        <v>25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7">
        <f t="shared" ref="AM328:AO328" si="613">C328+F328+I328+L328+O328+R328+U328+X328+AA328+AD328+AG328+AJ328</f>
        <v>0</v>
      </c>
      <c r="AN328" s="17">
        <f t="shared" si="613"/>
        <v>0</v>
      </c>
      <c r="AO328" s="17">
        <f t="shared" si="613"/>
        <v>0</v>
      </c>
      <c r="AP328" s="18">
        <f t="shared" ref="AP328:AQ328" si="614">IF(AM328=0,0,AN328/AM328)</f>
        <v>0</v>
      </c>
      <c r="AQ328" s="18">
        <f t="shared" si="614"/>
        <v>0</v>
      </c>
    </row>
    <row r="329" ht="15.75" customHeight="1">
      <c r="A329" s="10">
        <v>46321.0</v>
      </c>
      <c r="B329" s="11" t="s">
        <v>26</v>
      </c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7">
        <f t="shared" ref="AM329:AO329" si="615">C329+F329+I329+L329+O329+R329+U329+X329+AA329+AD329+AG329+AJ329</f>
        <v>0</v>
      </c>
      <c r="AN329" s="17">
        <f t="shared" si="615"/>
        <v>0</v>
      </c>
      <c r="AO329" s="17">
        <f t="shared" si="615"/>
        <v>0</v>
      </c>
      <c r="AP329" s="18">
        <f t="shared" ref="AP329:AQ329" si="616">IF(AM329=0,0,AN329/AM329)</f>
        <v>0</v>
      </c>
      <c r="AQ329" s="18">
        <f t="shared" si="616"/>
        <v>0</v>
      </c>
    </row>
    <row r="330" ht="15.75" customHeight="1">
      <c r="A330" s="10">
        <v>46322.0</v>
      </c>
      <c r="B330" s="11" t="s">
        <v>27</v>
      </c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7">
        <f t="shared" ref="AM330:AO330" si="617">C330+F330+I330+L330+O330+R330+U330+X330+AA330+AD330+AG330+AJ330</f>
        <v>0</v>
      </c>
      <c r="AN330" s="17">
        <f t="shared" si="617"/>
        <v>0</v>
      </c>
      <c r="AO330" s="17">
        <f t="shared" si="617"/>
        <v>0</v>
      </c>
      <c r="AP330" s="18">
        <f t="shared" ref="AP330:AQ330" si="618">IF(AM330=0,0,AN330/AM330)</f>
        <v>0</v>
      </c>
      <c r="AQ330" s="18">
        <f t="shared" si="618"/>
        <v>0</v>
      </c>
    </row>
    <row r="331" ht="15.75" customHeight="1">
      <c r="A331" s="10">
        <v>46323.0</v>
      </c>
      <c r="B331" s="11" t="s">
        <v>28</v>
      </c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7">
        <f t="shared" ref="AM331:AO331" si="619">C331+F331+I331+L331+O331+R331+U331+X331+AA331+AD331+AG331+AJ331</f>
        <v>0</v>
      </c>
      <c r="AN331" s="17">
        <f t="shared" si="619"/>
        <v>0</v>
      </c>
      <c r="AO331" s="17">
        <f t="shared" si="619"/>
        <v>0</v>
      </c>
      <c r="AP331" s="18">
        <f t="shared" ref="AP331:AQ331" si="620">IF(AM331=0,0,AN331/AM331)</f>
        <v>0</v>
      </c>
      <c r="AQ331" s="18">
        <f t="shared" si="620"/>
        <v>0</v>
      </c>
    </row>
    <row r="332" ht="15.75" customHeight="1">
      <c r="A332" s="10">
        <v>46324.0</v>
      </c>
      <c r="B332" s="11" t="s">
        <v>22</v>
      </c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7">
        <f t="shared" ref="AM332:AO332" si="621">C332+F332+I332+L332+O332+R332+U332+X332+AA332+AD332+AG332+AJ332</f>
        <v>0</v>
      </c>
      <c r="AN332" s="17">
        <f t="shared" si="621"/>
        <v>0</v>
      </c>
      <c r="AO332" s="17">
        <f t="shared" si="621"/>
        <v>0</v>
      </c>
      <c r="AP332" s="18">
        <f t="shared" ref="AP332:AQ332" si="622">IF(AM332=0,0,AN332/AM332)</f>
        <v>0</v>
      </c>
      <c r="AQ332" s="18">
        <f t="shared" si="622"/>
        <v>0</v>
      </c>
    </row>
    <row r="333" ht="15.75" customHeight="1">
      <c r="A333" s="10">
        <v>46325.0</v>
      </c>
      <c r="B333" s="11" t="s">
        <v>23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7">
        <f t="shared" ref="AM333:AO333" si="623">C333+F333+I333+L333+O333+R333+U333+X333+AA333+AD333+AG333+AJ333</f>
        <v>0</v>
      </c>
      <c r="AN333" s="17">
        <f t="shared" si="623"/>
        <v>0</v>
      </c>
      <c r="AO333" s="17">
        <f t="shared" si="623"/>
        <v>0</v>
      </c>
      <c r="AP333" s="18">
        <f t="shared" ref="AP333:AQ333" si="624">IF(AM333=0,0,AN333/AM333)</f>
        <v>0</v>
      </c>
      <c r="AQ333" s="18">
        <f t="shared" si="624"/>
        <v>0</v>
      </c>
    </row>
    <row r="334" ht="15.75" customHeight="1">
      <c r="A334" s="10">
        <v>46326.0</v>
      </c>
      <c r="B334" s="11" t="s">
        <v>24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7">
        <f t="shared" ref="AM334:AO334" si="625">C334+F334+I334+L334+O334+R334+U334+X334+AA334+AD334+AG334+AJ334</f>
        <v>0</v>
      </c>
      <c r="AN334" s="17">
        <f t="shared" si="625"/>
        <v>0</v>
      </c>
      <c r="AO334" s="17">
        <f t="shared" si="625"/>
        <v>0</v>
      </c>
      <c r="AP334" s="18">
        <f t="shared" ref="AP334:AQ334" si="626">IF(AM334=0,0,AN334/AM334)</f>
        <v>0</v>
      </c>
      <c r="AQ334" s="18">
        <f t="shared" si="626"/>
        <v>0</v>
      </c>
    </row>
    <row r="335" ht="15.75" customHeight="1">
      <c r="A335" s="26" t="s">
        <v>47</v>
      </c>
      <c r="B335" s="27"/>
      <c r="C335" s="28">
        <f t="shared" ref="C335:AO335" si="627">SUM(C304:C334)</f>
        <v>0</v>
      </c>
      <c r="D335" s="28">
        <f t="shared" si="627"/>
        <v>0</v>
      </c>
      <c r="E335" s="28">
        <f t="shared" si="627"/>
        <v>0</v>
      </c>
      <c r="F335" s="28">
        <f t="shared" si="627"/>
        <v>0</v>
      </c>
      <c r="G335" s="28">
        <f t="shared" si="627"/>
        <v>0</v>
      </c>
      <c r="H335" s="28">
        <f t="shared" si="627"/>
        <v>0</v>
      </c>
      <c r="I335" s="28">
        <f t="shared" si="627"/>
        <v>0</v>
      </c>
      <c r="J335" s="28">
        <f t="shared" si="627"/>
        <v>0</v>
      </c>
      <c r="K335" s="28">
        <f t="shared" si="627"/>
        <v>0</v>
      </c>
      <c r="L335" s="28">
        <f t="shared" si="627"/>
        <v>0</v>
      </c>
      <c r="M335" s="28">
        <f t="shared" si="627"/>
        <v>0</v>
      </c>
      <c r="N335" s="28">
        <f t="shared" si="627"/>
        <v>0</v>
      </c>
      <c r="O335" s="28">
        <f t="shared" si="627"/>
        <v>0</v>
      </c>
      <c r="P335" s="28">
        <f t="shared" si="627"/>
        <v>0</v>
      </c>
      <c r="Q335" s="28">
        <f t="shared" si="627"/>
        <v>0</v>
      </c>
      <c r="R335" s="28">
        <f t="shared" si="627"/>
        <v>0</v>
      </c>
      <c r="S335" s="28">
        <f t="shared" si="627"/>
        <v>0</v>
      </c>
      <c r="T335" s="28">
        <f t="shared" si="627"/>
        <v>0</v>
      </c>
      <c r="U335" s="28">
        <f t="shared" si="627"/>
        <v>0</v>
      </c>
      <c r="V335" s="28">
        <f t="shared" si="627"/>
        <v>0</v>
      </c>
      <c r="W335" s="28">
        <f t="shared" si="627"/>
        <v>0</v>
      </c>
      <c r="X335" s="28">
        <f t="shared" si="627"/>
        <v>0</v>
      </c>
      <c r="Y335" s="28">
        <f t="shared" si="627"/>
        <v>0</v>
      </c>
      <c r="Z335" s="28">
        <f t="shared" si="627"/>
        <v>0</v>
      </c>
      <c r="AA335" s="28">
        <f t="shared" si="627"/>
        <v>0</v>
      </c>
      <c r="AB335" s="28">
        <f t="shared" si="627"/>
        <v>0</v>
      </c>
      <c r="AC335" s="28">
        <f t="shared" si="627"/>
        <v>0</v>
      </c>
      <c r="AD335" s="28">
        <f t="shared" si="627"/>
        <v>0</v>
      </c>
      <c r="AE335" s="28">
        <f t="shared" si="627"/>
        <v>0</v>
      </c>
      <c r="AF335" s="28">
        <f t="shared" si="627"/>
        <v>0</v>
      </c>
      <c r="AG335" s="28">
        <f t="shared" si="627"/>
        <v>0</v>
      </c>
      <c r="AH335" s="28">
        <f t="shared" si="627"/>
        <v>0</v>
      </c>
      <c r="AI335" s="28">
        <f t="shared" si="627"/>
        <v>0</v>
      </c>
      <c r="AJ335" s="28">
        <f t="shared" si="627"/>
        <v>0</v>
      </c>
      <c r="AK335" s="28">
        <f t="shared" si="627"/>
        <v>0</v>
      </c>
      <c r="AL335" s="28">
        <f t="shared" si="627"/>
        <v>0</v>
      </c>
      <c r="AM335" s="29">
        <f t="shared" si="627"/>
        <v>0</v>
      </c>
      <c r="AN335" s="29">
        <f t="shared" si="627"/>
        <v>0</v>
      </c>
      <c r="AO335" s="29">
        <f t="shared" si="627"/>
        <v>0</v>
      </c>
      <c r="AP335" s="30">
        <f t="shared" ref="AP335:AQ335" si="628">IF(AM335=0,0,AN335/AM335)</f>
        <v>0</v>
      </c>
      <c r="AQ335" s="30">
        <f t="shared" si="628"/>
        <v>0</v>
      </c>
    </row>
    <row r="336" ht="15.75" customHeight="1"/>
    <row r="337" ht="27.75" customHeight="1">
      <c r="A337" s="9" t="s">
        <v>48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5"/>
    </row>
    <row r="338" ht="15.75" customHeight="1">
      <c r="A338" s="10">
        <v>46327.0</v>
      </c>
      <c r="B338" s="11" t="s">
        <v>25</v>
      </c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7">
        <f t="shared" ref="AM338:AO338" si="629">C338+F338+I338+L338+O338+R338+U338+X338+AA338+AD338+AG338+AJ338</f>
        <v>0</v>
      </c>
      <c r="AN338" s="17">
        <f t="shared" si="629"/>
        <v>0</v>
      </c>
      <c r="AO338" s="17">
        <f t="shared" si="629"/>
        <v>0</v>
      </c>
      <c r="AP338" s="18">
        <f t="shared" ref="AP338:AQ338" si="630">IF(AM338=0,0,AN338/AM338)</f>
        <v>0</v>
      </c>
      <c r="AQ338" s="18">
        <f t="shared" si="630"/>
        <v>0</v>
      </c>
    </row>
    <row r="339" ht="15.75" customHeight="1">
      <c r="A339" s="10">
        <v>46328.0</v>
      </c>
      <c r="B339" s="11" t="s">
        <v>26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7">
        <f t="shared" ref="AM339:AO339" si="631">C339+F339+I339+L339+O339+R339+U339+X339+AA339+AD339+AG339+AJ339</f>
        <v>0</v>
      </c>
      <c r="AN339" s="17">
        <f t="shared" si="631"/>
        <v>0</v>
      </c>
      <c r="AO339" s="17">
        <f t="shared" si="631"/>
        <v>0</v>
      </c>
      <c r="AP339" s="18">
        <f t="shared" ref="AP339:AQ339" si="632">IF(AM339=0,0,AN339/AM339)</f>
        <v>0</v>
      </c>
      <c r="AQ339" s="18">
        <f t="shared" si="632"/>
        <v>0</v>
      </c>
    </row>
    <row r="340" ht="15.75" customHeight="1">
      <c r="A340" s="10">
        <v>46329.0</v>
      </c>
      <c r="B340" s="11" t="s">
        <v>27</v>
      </c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7">
        <f t="shared" ref="AM340:AO340" si="633">C340+F340+I340+L340+O340+R340+U340+X340+AA340+AD340+AG340+AJ340</f>
        <v>0</v>
      </c>
      <c r="AN340" s="17">
        <f t="shared" si="633"/>
        <v>0</v>
      </c>
      <c r="AO340" s="17">
        <f t="shared" si="633"/>
        <v>0</v>
      </c>
      <c r="AP340" s="18">
        <f t="shared" ref="AP340:AQ340" si="634">IF(AM340=0,0,AN340/AM340)</f>
        <v>0</v>
      </c>
      <c r="AQ340" s="18">
        <f t="shared" si="634"/>
        <v>0</v>
      </c>
    </row>
    <row r="341" ht="15.75" customHeight="1">
      <c r="A341" s="10">
        <v>46330.0</v>
      </c>
      <c r="B341" s="11" t="s">
        <v>28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7">
        <f t="shared" ref="AM341:AO341" si="635">C341+F341+I341+L341+O341+R341+U341+X341+AA341+AD341+AG341+AJ341</f>
        <v>0</v>
      </c>
      <c r="AN341" s="17">
        <f t="shared" si="635"/>
        <v>0</v>
      </c>
      <c r="AO341" s="17">
        <f t="shared" si="635"/>
        <v>0</v>
      </c>
      <c r="AP341" s="18">
        <f t="shared" ref="AP341:AQ341" si="636">IF(AM341=0,0,AN341/AM341)</f>
        <v>0</v>
      </c>
      <c r="AQ341" s="18">
        <f t="shared" si="636"/>
        <v>0</v>
      </c>
    </row>
    <row r="342" ht="15.75" customHeight="1">
      <c r="A342" s="10">
        <v>46331.0</v>
      </c>
      <c r="B342" s="11" t="s">
        <v>22</v>
      </c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7">
        <f t="shared" ref="AM342:AO342" si="637">C342+F342+I342+L342+O342+R342+U342+X342+AA342+AD342+AG342+AJ342</f>
        <v>0</v>
      </c>
      <c r="AN342" s="17">
        <f t="shared" si="637"/>
        <v>0</v>
      </c>
      <c r="AO342" s="17">
        <f t="shared" si="637"/>
        <v>0</v>
      </c>
      <c r="AP342" s="18">
        <f t="shared" ref="AP342:AQ342" si="638">IF(AM342=0,0,AN342/AM342)</f>
        <v>0</v>
      </c>
      <c r="AQ342" s="18">
        <f t="shared" si="638"/>
        <v>0</v>
      </c>
    </row>
    <row r="343" ht="15.75" customHeight="1">
      <c r="A343" s="10">
        <v>46332.0</v>
      </c>
      <c r="B343" s="11" t="s">
        <v>23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7">
        <f t="shared" ref="AM343:AO343" si="639">C343+F343+I343+L343+O343+R343+U343+X343+AA343+AD343+AG343+AJ343</f>
        <v>0</v>
      </c>
      <c r="AN343" s="17">
        <f t="shared" si="639"/>
        <v>0</v>
      </c>
      <c r="AO343" s="17">
        <f t="shared" si="639"/>
        <v>0</v>
      </c>
      <c r="AP343" s="18">
        <f t="shared" ref="AP343:AQ343" si="640">IF(AM343=0,0,AN343/AM343)</f>
        <v>0</v>
      </c>
      <c r="AQ343" s="18">
        <f t="shared" si="640"/>
        <v>0</v>
      </c>
    </row>
    <row r="344" ht="15.75" customHeight="1">
      <c r="A344" s="10">
        <v>46333.0</v>
      </c>
      <c r="B344" s="11" t="s">
        <v>24</v>
      </c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7">
        <f t="shared" ref="AM344:AO344" si="641">C344+F344+I344+L344+O344+R344+U344+X344+AA344+AD344+AG344+AJ344</f>
        <v>0</v>
      </c>
      <c r="AN344" s="17">
        <f t="shared" si="641"/>
        <v>0</v>
      </c>
      <c r="AO344" s="17">
        <f t="shared" si="641"/>
        <v>0</v>
      </c>
      <c r="AP344" s="18">
        <f t="shared" ref="AP344:AQ344" si="642">IF(AM344=0,0,AN344/AM344)</f>
        <v>0</v>
      </c>
      <c r="AQ344" s="18">
        <f t="shared" si="642"/>
        <v>0</v>
      </c>
    </row>
    <row r="345" ht="15.75" customHeight="1">
      <c r="A345" s="10">
        <v>46334.0</v>
      </c>
      <c r="B345" s="11" t="s">
        <v>25</v>
      </c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7">
        <f t="shared" ref="AM345:AO345" si="643">C345+F345+I345+L345+O345+R345+U345+X345+AA345+AD345+AG345+AJ345</f>
        <v>0</v>
      </c>
      <c r="AN345" s="17">
        <f t="shared" si="643"/>
        <v>0</v>
      </c>
      <c r="AO345" s="17">
        <f t="shared" si="643"/>
        <v>0</v>
      </c>
      <c r="AP345" s="18">
        <f t="shared" ref="AP345:AQ345" si="644">IF(AM345=0,0,AN345/AM345)</f>
        <v>0</v>
      </c>
      <c r="AQ345" s="18">
        <f t="shared" si="644"/>
        <v>0</v>
      </c>
    </row>
    <row r="346" ht="15.75" customHeight="1">
      <c r="A346" s="10">
        <v>46335.0</v>
      </c>
      <c r="B346" s="11" t="s">
        <v>26</v>
      </c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7">
        <f t="shared" ref="AM346:AO346" si="645">C346+F346+I346+L346+O346+R346+U346+X346+AA346+AD346+AG346+AJ346</f>
        <v>0</v>
      </c>
      <c r="AN346" s="17">
        <f t="shared" si="645"/>
        <v>0</v>
      </c>
      <c r="AO346" s="17">
        <f t="shared" si="645"/>
        <v>0</v>
      </c>
      <c r="AP346" s="18">
        <f t="shared" ref="AP346:AQ346" si="646">IF(AM346=0,0,AN346/AM346)</f>
        <v>0</v>
      </c>
      <c r="AQ346" s="18">
        <f t="shared" si="646"/>
        <v>0</v>
      </c>
    </row>
    <row r="347" ht="15.75" customHeight="1">
      <c r="A347" s="10">
        <v>46336.0</v>
      </c>
      <c r="B347" s="11" t="s">
        <v>27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7">
        <f t="shared" ref="AM347:AO347" si="647">C347+F347+I347+L347+O347+R347+U347+X347+AA347+AD347+AG347+AJ347</f>
        <v>0</v>
      </c>
      <c r="AN347" s="17">
        <f t="shared" si="647"/>
        <v>0</v>
      </c>
      <c r="AO347" s="17">
        <f t="shared" si="647"/>
        <v>0</v>
      </c>
      <c r="AP347" s="18">
        <f t="shared" ref="AP347:AQ347" si="648">IF(AM347=0,0,AN347/AM347)</f>
        <v>0</v>
      </c>
      <c r="AQ347" s="18">
        <f t="shared" si="648"/>
        <v>0</v>
      </c>
    </row>
    <row r="348" ht="15.75" customHeight="1">
      <c r="A348" s="10">
        <v>46337.0</v>
      </c>
      <c r="B348" s="11" t="s">
        <v>28</v>
      </c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7">
        <f t="shared" ref="AM348:AO348" si="649">C348+F348+I348+L348+O348+R348+U348+X348+AA348+AD348+AG348+AJ348</f>
        <v>0</v>
      </c>
      <c r="AN348" s="17">
        <f t="shared" si="649"/>
        <v>0</v>
      </c>
      <c r="AO348" s="17">
        <f t="shared" si="649"/>
        <v>0</v>
      </c>
      <c r="AP348" s="18">
        <f t="shared" ref="AP348:AQ348" si="650">IF(AM348=0,0,AN348/AM348)</f>
        <v>0</v>
      </c>
      <c r="AQ348" s="18">
        <f t="shared" si="650"/>
        <v>0</v>
      </c>
    </row>
    <row r="349" ht="15.75" customHeight="1">
      <c r="A349" s="10">
        <v>46338.0</v>
      </c>
      <c r="B349" s="11" t="s">
        <v>22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7">
        <f t="shared" ref="AM349:AO349" si="651">C349+F349+I349+L349+O349+R349+U349+X349+AA349+AD349+AG349+AJ349</f>
        <v>0</v>
      </c>
      <c r="AN349" s="17">
        <f t="shared" si="651"/>
        <v>0</v>
      </c>
      <c r="AO349" s="17">
        <f t="shared" si="651"/>
        <v>0</v>
      </c>
      <c r="AP349" s="18">
        <f t="shared" ref="AP349:AQ349" si="652">IF(AM349=0,0,AN349/AM349)</f>
        <v>0</v>
      </c>
      <c r="AQ349" s="18">
        <f t="shared" si="652"/>
        <v>0</v>
      </c>
    </row>
    <row r="350" ht="15.75" customHeight="1">
      <c r="A350" s="10">
        <v>46339.0</v>
      </c>
      <c r="B350" s="11" t="s">
        <v>23</v>
      </c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7">
        <f t="shared" ref="AM350:AO350" si="653">C350+F350+I350+L350+O350+R350+U350+X350+AA350+AD350+AG350+AJ350</f>
        <v>0</v>
      </c>
      <c r="AN350" s="17">
        <f t="shared" si="653"/>
        <v>0</v>
      </c>
      <c r="AO350" s="17">
        <f t="shared" si="653"/>
        <v>0</v>
      </c>
      <c r="AP350" s="18">
        <f t="shared" ref="AP350:AQ350" si="654">IF(AM350=0,0,AN350/AM350)</f>
        <v>0</v>
      </c>
      <c r="AQ350" s="18">
        <f t="shared" si="654"/>
        <v>0</v>
      </c>
    </row>
    <row r="351" ht="15.75" customHeight="1">
      <c r="A351" s="10">
        <v>46340.0</v>
      </c>
      <c r="B351" s="11" t="s">
        <v>24</v>
      </c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7">
        <f t="shared" ref="AM351:AO351" si="655">C351+F351+I351+L351+O351+R351+U351+X351+AA351+AD351+AG351+AJ351</f>
        <v>0</v>
      </c>
      <c r="AN351" s="17">
        <f t="shared" si="655"/>
        <v>0</v>
      </c>
      <c r="AO351" s="17">
        <f t="shared" si="655"/>
        <v>0</v>
      </c>
      <c r="AP351" s="18">
        <f t="shared" ref="AP351:AQ351" si="656">IF(AM351=0,0,AN351/AM351)</f>
        <v>0</v>
      </c>
      <c r="AQ351" s="18">
        <f t="shared" si="656"/>
        <v>0</v>
      </c>
    </row>
    <row r="352" ht="15.75" customHeight="1">
      <c r="A352" s="10">
        <v>46341.0</v>
      </c>
      <c r="B352" s="11" t="s">
        <v>25</v>
      </c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7">
        <f t="shared" ref="AM352:AO352" si="657">C352+F352+I352+L352+O352+R352+U352+X352+AA352+AD352+AG352+AJ352</f>
        <v>0</v>
      </c>
      <c r="AN352" s="17">
        <f t="shared" si="657"/>
        <v>0</v>
      </c>
      <c r="AO352" s="17">
        <f t="shared" si="657"/>
        <v>0</v>
      </c>
      <c r="AP352" s="18">
        <f t="shared" ref="AP352:AQ352" si="658">IF(AM352=0,0,AN352/AM352)</f>
        <v>0</v>
      </c>
      <c r="AQ352" s="18">
        <f t="shared" si="658"/>
        <v>0</v>
      </c>
    </row>
    <row r="353" ht="15.75" customHeight="1">
      <c r="A353" s="10">
        <v>46342.0</v>
      </c>
      <c r="B353" s="11" t="s">
        <v>26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7">
        <f t="shared" ref="AM353:AO353" si="659">C353+F353+I353+L353+O353+R353+U353+X353+AA353+AD353+AG353+AJ353</f>
        <v>0</v>
      </c>
      <c r="AN353" s="17">
        <f t="shared" si="659"/>
        <v>0</v>
      </c>
      <c r="AO353" s="17">
        <f t="shared" si="659"/>
        <v>0</v>
      </c>
      <c r="AP353" s="18">
        <f t="shared" ref="AP353:AQ353" si="660">IF(AM353=0,0,AN353/AM353)</f>
        <v>0</v>
      </c>
      <c r="AQ353" s="18">
        <f t="shared" si="660"/>
        <v>0</v>
      </c>
    </row>
    <row r="354" ht="15.75" customHeight="1">
      <c r="A354" s="10">
        <v>46343.0</v>
      </c>
      <c r="B354" s="11" t="s">
        <v>27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7">
        <f t="shared" ref="AM354:AO354" si="661">C354+F354+I354+L354+O354+R354+U354+X354+AA354+AD354+AG354+AJ354</f>
        <v>0</v>
      </c>
      <c r="AN354" s="17">
        <f t="shared" si="661"/>
        <v>0</v>
      </c>
      <c r="AO354" s="17">
        <f t="shared" si="661"/>
        <v>0</v>
      </c>
      <c r="AP354" s="18">
        <f t="shared" ref="AP354:AQ354" si="662">IF(AM354=0,0,AN354/AM354)</f>
        <v>0</v>
      </c>
      <c r="AQ354" s="18">
        <f t="shared" si="662"/>
        <v>0</v>
      </c>
    </row>
    <row r="355" ht="15.75" customHeight="1">
      <c r="A355" s="10">
        <v>46344.0</v>
      </c>
      <c r="B355" s="11" t="s">
        <v>28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7">
        <f t="shared" ref="AM355:AO355" si="663">C355+F355+I355+L355+O355+R355+U355+X355+AA355+AD355+AG355+AJ355</f>
        <v>0</v>
      </c>
      <c r="AN355" s="17">
        <f t="shared" si="663"/>
        <v>0</v>
      </c>
      <c r="AO355" s="17">
        <f t="shared" si="663"/>
        <v>0</v>
      </c>
      <c r="AP355" s="18">
        <f t="shared" ref="AP355:AQ355" si="664">IF(AM355=0,0,AN355/AM355)</f>
        <v>0</v>
      </c>
      <c r="AQ355" s="18">
        <f t="shared" si="664"/>
        <v>0</v>
      </c>
    </row>
    <row r="356" ht="15.75" customHeight="1">
      <c r="A356" s="10">
        <v>46345.0</v>
      </c>
      <c r="B356" s="11" t="s">
        <v>22</v>
      </c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7">
        <f t="shared" ref="AM356:AO356" si="665">C356+F356+I356+L356+O356+R356+U356+X356+AA356+AD356+AG356+AJ356</f>
        <v>0</v>
      </c>
      <c r="AN356" s="17">
        <f t="shared" si="665"/>
        <v>0</v>
      </c>
      <c r="AO356" s="17">
        <f t="shared" si="665"/>
        <v>0</v>
      </c>
      <c r="AP356" s="18">
        <f t="shared" ref="AP356:AQ356" si="666">IF(AM356=0,0,AN356/AM356)</f>
        <v>0</v>
      </c>
      <c r="AQ356" s="18">
        <f t="shared" si="666"/>
        <v>0</v>
      </c>
    </row>
    <row r="357" ht="15.75" customHeight="1">
      <c r="A357" s="10">
        <v>46346.0</v>
      </c>
      <c r="B357" s="11" t="s">
        <v>23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7">
        <f t="shared" ref="AM357:AO357" si="667">C357+F357+I357+L357+O357+R357+U357+X357+AA357+AD357+AG357+AJ357</f>
        <v>0</v>
      </c>
      <c r="AN357" s="17">
        <f t="shared" si="667"/>
        <v>0</v>
      </c>
      <c r="AO357" s="17">
        <f t="shared" si="667"/>
        <v>0</v>
      </c>
      <c r="AP357" s="18">
        <f t="shared" ref="AP357:AQ357" si="668">IF(AM357=0,0,AN357/AM357)</f>
        <v>0</v>
      </c>
      <c r="AQ357" s="18">
        <f t="shared" si="668"/>
        <v>0</v>
      </c>
    </row>
    <row r="358" ht="15.75" customHeight="1">
      <c r="A358" s="10">
        <v>46347.0</v>
      </c>
      <c r="B358" s="11" t="s">
        <v>24</v>
      </c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7">
        <f t="shared" ref="AM358:AO358" si="669">C358+F358+I358+L358+O358+R358+U358+X358+AA358+AD358+AG358+AJ358</f>
        <v>0</v>
      </c>
      <c r="AN358" s="17">
        <f t="shared" si="669"/>
        <v>0</v>
      </c>
      <c r="AO358" s="17">
        <f t="shared" si="669"/>
        <v>0</v>
      </c>
      <c r="AP358" s="18">
        <f t="shared" ref="AP358:AQ358" si="670">IF(AM358=0,0,AN358/AM358)</f>
        <v>0</v>
      </c>
      <c r="AQ358" s="18">
        <f t="shared" si="670"/>
        <v>0</v>
      </c>
    </row>
    <row r="359" ht="15.75" customHeight="1">
      <c r="A359" s="10">
        <v>46348.0</v>
      </c>
      <c r="B359" s="11" t="s">
        <v>25</v>
      </c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7">
        <f t="shared" ref="AM359:AO359" si="671">C359+F359+I359+L359+O359+R359+U359+X359+AA359+AD359+AG359+AJ359</f>
        <v>0</v>
      </c>
      <c r="AN359" s="17">
        <f t="shared" si="671"/>
        <v>0</v>
      </c>
      <c r="AO359" s="17">
        <f t="shared" si="671"/>
        <v>0</v>
      </c>
      <c r="AP359" s="18">
        <f t="shared" ref="AP359:AQ359" si="672">IF(AM359=0,0,AN359/AM359)</f>
        <v>0</v>
      </c>
      <c r="AQ359" s="18">
        <f t="shared" si="672"/>
        <v>0</v>
      </c>
    </row>
    <row r="360" ht="15.75" customHeight="1">
      <c r="A360" s="10">
        <v>46349.0</v>
      </c>
      <c r="B360" s="11" t="s">
        <v>26</v>
      </c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7">
        <f t="shared" ref="AM360:AO360" si="673">C360+F360+I360+L360+O360+R360+U360+X360+AA360+AD360+AG360+AJ360</f>
        <v>0</v>
      </c>
      <c r="AN360" s="17">
        <f t="shared" si="673"/>
        <v>0</v>
      </c>
      <c r="AO360" s="17">
        <f t="shared" si="673"/>
        <v>0</v>
      </c>
      <c r="AP360" s="18">
        <f t="shared" ref="AP360:AQ360" si="674">IF(AM360=0,0,AN360/AM360)</f>
        <v>0</v>
      </c>
      <c r="AQ360" s="18">
        <f t="shared" si="674"/>
        <v>0</v>
      </c>
    </row>
    <row r="361" ht="15.75" customHeight="1">
      <c r="A361" s="10">
        <v>46350.0</v>
      </c>
      <c r="B361" s="11" t="s">
        <v>27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7">
        <f t="shared" ref="AM361:AO361" si="675">C361+F361+I361+L361+O361+R361+U361+X361+AA361+AD361+AG361+AJ361</f>
        <v>0</v>
      </c>
      <c r="AN361" s="17">
        <f t="shared" si="675"/>
        <v>0</v>
      </c>
      <c r="AO361" s="17">
        <f t="shared" si="675"/>
        <v>0</v>
      </c>
      <c r="AP361" s="18">
        <f t="shared" ref="AP361:AQ361" si="676">IF(AM361=0,0,AN361/AM361)</f>
        <v>0</v>
      </c>
      <c r="AQ361" s="18">
        <f t="shared" si="676"/>
        <v>0</v>
      </c>
    </row>
    <row r="362" ht="15.75" customHeight="1">
      <c r="A362" s="10">
        <v>46351.0</v>
      </c>
      <c r="B362" s="11" t="s">
        <v>28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7">
        <f t="shared" ref="AM362:AO362" si="677">C362+F362+I362+L362+O362+R362+U362+X362+AA362+AD362+AG362+AJ362</f>
        <v>0</v>
      </c>
      <c r="AN362" s="17">
        <f t="shared" si="677"/>
        <v>0</v>
      </c>
      <c r="AO362" s="17">
        <f t="shared" si="677"/>
        <v>0</v>
      </c>
      <c r="AP362" s="18">
        <f t="shared" ref="AP362:AQ362" si="678">IF(AM362=0,0,AN362/AM362)</f>
        <v>0</v>
      </c>
      <c r="AQ362" s="18">
        <f t="shared" si="678"/>
        <v>0</v>
      </c>
    </row>
    <row r="363" ht="15.75" customHeight="1">
      <c r="A363" s="10">
        <v>46352.0</v>
      </c>
      <c r="B363" s="11" t="s">
        <v>22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7">
        <f t="shared" ref="AM363:AO363" si="679">C363+F363+I363+L363+O363+R363+U363+X363+AA363+AD363+AG363+AJ363</f>
        <v>0</v>
      </c>
      <c r="AN363" s="17">
        <f t="shared" si="679"/>
        <v>0</v>
      </c>
      <c r="AO363" s="17">
        <f t="shared" si="679"/>
        <v>0</v>
      </c>
      <c r="AP363" s="18">
        <f t="shared" ref="AP363:AQ363" si="680">IF(AM363=0,0,AN363/AM363)</f>
        <v>0</v>
      </c>
      <c r="AQ363" s="18">
        <f t="shared" si="680"/>
        <v>0</v>
      </c>
    </row>
    <row r="364" ht="15.75" customHeight="1">
      <c r="A364" s="10">
        <v>46353.0</v>
      </c>
      <c r="B364" s="11" t="s">
        <v>23</v>
      </c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7">
        <f t="shared" ref="AM364:AO364" si="681">C364+F364+I364+L364+O364+R364+U364+X364+AA364+AD364+AG364+AJ364</f>
        <v>0</v>
      </c>
      <c r="AN364" s="17">
        <f t="shared" si="681"/>
        <v>0</v>
      </c>
      <c r="AO364" s="17">
        <f t="shared" si="681"/>
        <v>0</v>
      </c>
      <c r="AP364" s="18">
        <f t="shared" ref="AP364:AQ364" si="682">IF(AM364=0,0,AN364/AM364)</f>
        <v>0</v>
      </c>
      <c r="AQ364" s="18">
        <f t="shared" si="682"/>
        <v>0</v>
      </c>
    </row>
    <row r="365" ht="15.75" customHeight="1">
      <c r="A365" s="10">
        <v>46354.0</v>
      </c>
      <c r="B365" s="11" t="s">
        <v>24</v>
      </c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7">
        <f t="shared" ref="AM365:AO365" si="683">C365+F365+I365+L365+O365+R365+U365+X365+AA365+AD365+AG365+AJ365</f>
        <v>0</v>
      </c>
      <c r="AN365" s="17">
        <f t="shared" si="683"/>
        <v>0</v>
      </c>
      <c r="AO365" s="17">
        <f t="shared" si="683"/>
        <v>0</v>
      </c>
      <c r="AP365" s="18">
        <f t="shared" ref="AP365:AQ365" si="684">IF(AM365=0,0,AN365/AM365)</f>
        <v>0</v>
      </c>
      <c r="AQ365" s="18">
        <f t="shared" si="684"/>
        <v>0</v>
      </c>
    </row>
    <row r="366" ht="15.75" customHeight="1">
      <c r="A366" s="10">
        <v>46355.0</v>
      </c>
      <c r="B366" s="11" t="s">
        <v>25</v>
      </c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7">
        <f t="shared" ref="AM366:AO366" si="685">C366+F366+I366+L366+O366+R366+U366+X366+AA366+AD366+AG366+AJ366</f>
        <v>0</v>
      </c>
      <c r="AN366" s="17">
        <f t="shared" si="685"/>
        <v>0</v>
      </c>
      <c r="AO366" s="17">
        <f t="shared" si="685"/>
        <v>0</v>
      </c>
      <c r="AP366" s="18">
        <f t="shared" ref="AP366:AQ366" si="686">IF(AM366=0,0,AN366/AM366)</f>
        <v>0</v>
      </c>
      <c r="AQ366" s="18">
        <f t="shared" si="686"/>
        <v>0</v>
      </c>
    </row>
    <row r="367" ht="15.75" customHeight="1">
      <c r="A367" s="10">
        <v>46356.0</v>
      </c>
      <c r="B367" s="11" t="s">
        <v>26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7">
        <f t="shared" ref="AM367:AO367" si="687">C367+F367+I367+L367+O367+R367+U367+X367+AA367+AD367+AG367+AJ367</f>
        <v>0</v>
      </c>
      <c r="AN367" s="17">
        <f t="shared" si="687"/>
        <v>0</v>
      </c>
      <c r="AO367" s="17">
        <f t="shared" si="687"/>
        <v>0</v>
      </c>
      <c r="AP367" s="18">
        <f t="shared" ref="AP367:AQ367" si="688">IF(AM367=0,0,AN367/AM367)</f>
        <v>0</v>
      </c>
      <c r="AQ367" s="18">
        <f t="shared" si="688"/>
        <v>0</v>
      </c>
    </row>
    <row r="368" ht="15.75" customHeight="1">
      <c r="A368" s="26" t="s">
        <v>49</v>
      </c>
      <c r="B368" s="27"/>
      <c r="C368" s="28">
        <f t="shared" ref="C368:AO368" si="689">SUM(C338:C367)</f>
        <v>0</v>
      </c>
      <c r="D368" s="28">
        <f t="shared" si="689"/>
        <v>0</v>
      </c>
      <c r="E368" s="28">
        <f t="shared" si="689"/>
        <v>0</v>
      </c>
      <c r="F368" s="28">
        <f t="shared" si="689"/>
        <v>0</v>
      </c>
      <c r="G368" s="28">
        <f t="shared" si="689"/>
        <v>0</v>
      </c>
      <c r="H368" s="28">
        <f t="shared" si="689"/>
        <v>0</v>
      </c>
      <c r="I368" s="28">
        <f t="shared" si="689"/>
        <v>0</v>
      </c>
      <c r="J368" s="28">
        <f t="shared" si="689"/>
        <v>0</v>
      </c>
      <c r="K368" s="28">
        <f t="shared" si="689"/>
        <v>0</v>
      </c>
      <c r="L368" s="28">
        <f t="shared" si="689"/>
        <v>0</v>
      </c>
      <c r="M368" s="28">
        <f t="shared" si="689"/>
        <v>0</v>
      </c>
      <c r="N368" s="28">
        <f t="shared" si="689"/>
        <v>0</v>
      </c>
      <c r="O368" s="28">
        <f t="shared" si="689"/>
        <v>0</v>
      </c>
      <c r="P368" s="28">
        <f t="shared" si="689"/>
        <v>0</v>
      </c>
      <c r="Q368" s="28">
        <f t="shared" si="689"/>
        <v>0</v>
      </c>
      <c r="R368" s="28">
        <f t="shared" si="689"/>
        <v>0</v>
      </c>
      <c r="S368" s="28">
        <f t="shared" si="689"/>
        <v>0</v>
      </c>
      <c r="T368" s="28">
        <f t="shared" si="689"/>
        <v>0</v>
      </c>
      <c r="U368" s="28">
        <f t="shared" si="689"/>
        <v>0</v>
      </c>
      <c r="V368" s="28">
        <f t="shared" si="689"/>
        <v>0</v>
      </c>
      <c r="W368" s="28">
        <f t="shared" si="689"/>
        <v>0</v>
      </c>
      <c r="X368" s="28">
        <f t="shared" si="689"/>
        <v>0</v>
      </c>
      <c r="Y368" s="28">
        <f t="shared" si="689"/>
        <v>0</v>
      </c>
      <c r="Z368" s="28">
        <f t="shared" si="689"/>
        <v>0</v>
      </c>
      <c r="AA368" s="28">
        <f t="shared" si="689"/>
        <v>0</v>
      </c>
      <c r="AB368" s="28">
        <f t="shared" si="689"/>
        <v>0</v>
      </c>
      <c r="AC368" s="28">
        <f t="shared" si="689"/>
        <v>0</v>
      </c>
      <c r="AD368" s="28">
        <f t="shared" si="689"/>
        <v>0</v>
      </c>
      <c r="AE368" s="28">
        <f t="shared" si="689"/>
        <v>0</v>
      </c>
      <c r="AF368" s="28">
        <f t="shared" si="689"/>
        <v>0</v>
      </c>
      <c r="AG368" s="28">
        <f t="shared" si="689"/>
        <v>0</v>
      </c>
      <c r="AH368" s="28">
        <f t="shared" si="689"/>
        <v>0</v>
      </c>
      <c r="AI368" s="28">
        <f t="shared" si="689"/>
        <v>0</v>
      </c>
      <c r="AJ368" s="28">
        <f t="shared" si="689"/>
        <v>0</v>
      </c>
      <c r="AK368" s="28">
        <f t="shared" si="689"/>
        <v>0</v>
      </c>
      <c r="AL368" s="28">
        <f t="shared" si="689"/>
        <v>0</v>
      </c>
      <c r="AM368" s="29">
        <f t="shared" si="689"/>
        <v>0</v>
      </c>
      <c r="AN368" s="29">
        <f t="shared" si="689"/>
        <v>0</v>
      </c>
      <c r="AO368" s="29">
        <f t="shared" si="689"/>
        <v>0</v>
      </c>
      <c r="AP368" s="30">
        <f t="shared" ref="AP368:AQ368" si="690">IF(AM368=0,0,AN368/AM368)</f>
        <v>0</v>
      </c>
      <c r="AQ368" s="30">
        <f t="shared" si="690"/>
        <v>0</v>
      </c>
    </row>
    <row r="369" ht="15.75" customHeight="1"/>
    <row r="370" ht="27.75" customHeight="1">
      <c r="A370" s="9" t="s">
        <v>50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5"/>
    </row>
    <row r="371" ht="15.75" customHeight="1">
      <c r="A371" s="10">
        <v>46357.0</v>
      </c>
      <c r="B371" s="11" t="s">
        <v>27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7">
        <f t="shared" ref="AM371:AO371" si="691">C371+F371+I371+L371+O371+R371+U371+X371+AA371+AD371+AG371+AJ371</f>
        <v>0</v>
      </c>
      <c r="AN371" s="17">
        <f t="shared" si="691"/>
        <v>0</v>
      </c>
      <c r="AO371" s="17">
        <f t="shared" si="691"/>
        <v>0</v>
      </c>
      <c r="AP371" s="18">
        <f t="shared" ref="AP371:AQ371" si="692">IF(AM371=0,0,AN371/AM371)</f>
        <v>0</v>
      </c>
      <c r="AQ371" s="18">
        <f t="shared" si="692"/>
        <v>0</v>
      </c>
    </row>
    <row r="372" ht="15.75" customHeight="1">
      <c r="A372" s="10">
        <v>46358.0</v>
      </c>
      <c r="B372" s="11" t="s">
        <v>28</v>
      </c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7">
        <f t="shared" ref="AM372:AO372" si="693">C372+F372+I372+L372+O372+R372+U372+X372+AA372+AD372+AG372+AJ372</f>
        <v>0</v>
      </c>
      <c r="AN372" s="17">
        <f t="shared" si="693"/>
        <v>0</v>
      </c>
      <c r="AO372" s="17">
        <f t="shared" si="693"/>
        <v>0</v>
      </c>
      <c r="AP372" s="18">
        <f t="shared" ref="AP372:AQ372" si="694">IF(AM372=0,0,AN372/AM372)</f>
        <v>0</v>
      </c>
      <c r="AQ372" s="18">
        <f t="shared" si="694"/>
        <v>0</v>
      </c>
    </row>
    <row r="373" ht="15.75" customHeight="1">
      <c r="A373" s="10">
        <v>46359.0</v>
      </c>
      <c r="B373" s="11" t="s">
        <v>22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7">
        <f t="shared" ref="AM373:AO373" si="695">C373+F373+I373+L373+O373+R373+U373+X373+AA373+AD373+AG373+AJ373</f>
        <v>0</v>
      </c>
      <c r="AN373" s="17">
        <f t="shared" si="695"/>
        <v>0</v>
      </c>
      <c r="AO373" s="17">
        <f t="shared" si="695"/>
        <v>0</v>
      </c>
      <c r="AP373" s="18">
        <f t="shared" ref="AP373:AQ373" si="696">IF(AM373=0,0,AN373/AM373)</f>
        <v>0</v>
      </c>
      <c r="AQ373" s="18">
        <f t="shared" si="696"/>
        <v>0</v>
      </c>
    </row>
    <row r="374" ht="15.75" customHeight="1">
      <c r="A374" s="10">
        <v>46360.0</v>
      </c>
      <c r="B374" s="11" t="s">
        <v>23</v>
      </c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7">
        <f t="shared" ref="AM374:AO374" si="697">C374+F374+I374+L374+O374+R374+U374+X374+AA374+AD374+AG374+AJ374</f>
        <v>0</v>
      </c>
      <c r="AN374" s="17">
        <f t="shared" si="697"/>
        <v>0</v>
      </c>
      <c r="AO374" s="17">
        <f t="shared" si="697"/>
        <v>0</v>
      </c>
      <c r="AP374" s="18">
        <f t="shared" ref="AP374:AQ374" si="698">IF(AM374=0,0,AN374/AM374)</f>
        <v>0</v>
      </c>
      <c r="AQ374" s="18">
        <f t="shared" si="698"/>
        <v>0</v>
      </c>
    </row>
    <row r="375" ht="15.75" customHeight="1">
      <c r="A375" s="10">
        <v>46361.0</v>
      </c>
      <c r="B375" s="11" t="s">
        <v>24</v>
      </c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7">
        <f t="shared" ref="AM375:AO375" si="699">C375+F375+I375+L375+O375+R375+U375+X375+AA375+AD375+AG375+AJ375</f>
        <v>0</v>
      </c>
      <c r="AN375" s="17">
        <f t="shared" si="699"/>
        <v>0</v>
      </c>
      <c r="AO375" s="17">
        <f t="shared" si="699"/>
        <v>0</v>
      </c>
      <c r="AP375" s="18">
        <f t="shared" ref="AP375:AQ375" si="700">IF(AM375=0,0,AN375/AM375)</f>
        <v>0</v>
      </c>
      <c r="AQ375" s="18">
        <f t="shared" si="700"/>
        <v>0</v>
      </c>
    </row>
    <row r="376" ht="15.75" customHeight="1">
      <c r="A376" s="10">
        <v>46362.0</v>
      </c>
      <c r="B376" s="11" t="s">
        <v>25</v>
      </c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7">
        <f t="shared" ref="AM376:AO376" si="701">C376+F376+I376+L376+O376+R376+U376+X376+AA376+AD376+AG376+AJ376</f>
        <v>0</v>
      </c>
      <c r="AN376" s="17">
        <f t="shared" si="701"/>
        <v>0</v>
      </c>
      <c r="AO376" s="17">
        <f t="shared" si="701"/>
        <v>0</v>
      </c>
      <c r="AP376" s="18">
        <f t="shared" ref="AP376:AQ376" si="702">IF(AM376=0,0,AN376/AM376)</f>
        <v>0</v>
      </c>
      <c r="AQ376" s="18">
        <f t="shared" si="702"/>
        <v>0</v>
      </c>
    </row>
    <row r="377" ht="15.75" customHeight="1">
      <c r="A377" s="10">
        <v>46363.0</v>
      </c>
      <c r="B377" s="11" t="s">
        <v>26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7">
        <f t="shared" ref="AM377:AO377" si="703">C377+F377+I377+L377+O377+R377+U377+X377+AA377+AD377+AG377+AJ377</f>
        <v>0</v>
      </c>
      <c r="AN377" s="17">
        <f t="shared" si="703"/>
        <v>0</v>
      </c>
      <c r="AO377" s="17">
        <f t="shared" si="703"/>
        <v>0</v>
      </c>
      <c r="AP377" s="18">
        <f t="shared" ref="AP377:AQ377" si="704">IF(AM377=0,0,AN377/AM377)</f>
        <v>0</v>
      </c>
      <c r="AQ377" s="18">
        <f t="shared" si="704"/>
        <v>0</v>
      </c>
    </row>
    <row r="378" ht="15.75" customHeight="1">
      <c r="A378" s="10">
        <v>46364.0</v>
      </c>
      <c r="B378" s="11" t="s">
        <v>27</v>
      </c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7">
        <f t="shared" ref="AM378:AO378" si="705">C378+F378+I378+L378+O378+R378+U378+X378+AA378+AD378+AG378+AJ378</f>
        <v>0</v>
      </c>
      <c r="AN378" s="17">
        <f t="shared" si="705"/>
        <v>0</v>
      </c>
      <c r="AO378" s="17">
        <f t="shared" si="705"/>
        <v>0</v>
      </c>
      <c r="AP378" s="18">
        <f t="shared" ref="AP378:AQ378" si="706">IF(AM378=0,0,AN378/AM378)</f>
        <v>0</v>
      </c>
      <c r="AQ378" s="18">
        <f t="shared" si="706"/>
        <v>0</v>
      </c>
    </row>
    <row r="379" ht="15.75" customHeight="1">
      <c r="A379" s="10">
        <v>46365.0</v>
      </c>
      <c r="B379" s="11" t="s">
        <v>28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7">
        <f t="shared" ref="AM379:AO379" si="707">C379+F379+I379+L379+O379+R379+U379+X379+AA379+AD379+AG379+AJ379</f>
        <v>0</v>
      </c>
      <c r="AN379" s="17">
        <f t="shared" si="707"/>
        <v>0</v>
      </c>
      <c r="AO379" s="17">
        <f t="shared" si="707"/>
        <v>0</v>
      </c>
      <c r="AP379" s="18">
        <f t="shared" ref="AP379:AQ379" si="708">IF(AM379=0,0,AN379/AM379)</f>
        <v>0</v>
      </c>
      <c r="AQ379" s="18">
        <f t="shared" si="708"/>
        <v>0</v>
      </c>
    </row>
    <row r="380" ht="15.75" customHeight="1">
      <c r="A380" s="10">
        <v>46366.0</v>
      </c>
      <c r="B380" s="11" t="s">
        <v>22</v>
      </c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7">
        <f t="shared" ref="AM380:AO380" si="709">C380+F380+I380+L380+O380+R380+U380+X380+AA380+AD380+AG380+AJ380</f>
        <v>0</v>
      </c>
      <c r="AN380" s="17">
        <f t="shared" si="709"/>
        <v>0</v>
      </c>
      <c r="AO380" s="17">
        <f t="shared" si="709"/>
        <v>0</v>
      </c>
      <c r="AP380" s="18">
        <f t="shared" ref="AP380:AQ380" si="710">IF(AM380=0,0,AN380/AM380)</f>
        <v>0</v>
      </c>
      <c r="AQ380" s="18">
        <f t="shared" si="710"/>
        <v>0</v>
      </c>
    </row>
    <row r="381" ht="15.75" customHeight="1">
      <c r="A381" s="10">
        <v>46367.0</v>
      </c>
      <c r="B381" s="11" t="s">
        <v>23</v>
      </c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7">
        <f t="shared" ref="AM381:AO381" si="711">C381+F381+I381+L381+O381+R381+U381+X381+AA381+AD381+AG381+AJ381</f>
        <v>0</v>
      </c>
      <c r="AN381" s="17">
        <f t="shared" si="711"/>
        <v>0</v>
      </c>
      <c r="AO381" s="17">
        <f t="shared" si="711"/>
        <v>0</v>
      </c>
      <c r="AP381" s="18">
        <f t="shared" ref="AP381:AQ381" si="712">IF(AM381=0,0,AN381/AM381)</f>
        <v>0</v>
      </c>
      <c r="AQ381" s="18">
        <f t="shared" si="712"/>
        <v>0</v>
      </c>
    </row>
    <row r="382" ht="15.75" customHeight="1">
      <c r="A382" s="10">
        <v>46368.0</v>
      </c>
      <c r="B382" s="11" t="s">
        <v>24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7">
        <f t="shared" ref="AM382:AO382" si="713">C382+F382+I382+L382+O382+R382+U382+X382+AA382+AD382+AG382+AJ382</f>
        <v>0</v>
      </c>
      <c r="AN382" s="17">
        <f t="shared" si="713"/>
        <v>0</v>
      </c>
      <c r="AO382" s="17">
        <f t="shared" si="713"/>
        <v>0</v>
      </c>
      <c r="AP382" s="18">
        <f t="shared" ref="AP382:AQ382" si="714">IF(AM382=0,0,AN382/AM382)</f>
        <v>0</v>
      </c>
      <c r="AQ382" s="18">
        <f t="shared" si="714"/>
        <v>0</v>
      </c>
    </row>
    <row r="383" ht="15.75" customHeight="1">
      <c r="A383" s="10">
        <v>46369.0</v>
      </c>
      <c r="B383" s="11" t="s">
        <v>25</v>
      </c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7">
        <f t="shared" ref="AM383:AO383" si="715">C383+F383+I383+L383+O383+R383+U383+X383+AA383+AD383+AG383+AJ383</f>
        <v>0</v>
      </c>
      <c r="AN383" s="17">
        <f t="shared" si="715"/>
        <v>0</v>
      </c>
      <c r="AO383" s="17">
        <f t="shared" si="715"/>
        <v>0</v>
      </c>
      <c r="AP383" s="18">
        <f t="shared" ref="AP383:AQ383" si="716">IF(AM383=0,0,AN383/AM383)</f>
        <v>0</v>
      </c>
      <c r="AQ383" s="18">
        <f t="shared" si="716"/>
        <v>0</v>
      </c>
    </row>
    <row r="384" ht="15.75" customHeight="1">
      <c r="A384" s="10">
        <v>46370.0</v>
      </c>
      <c r="B384" s="11" t="s">
        <v>26</v>
      </c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7">
        <f t="shared" ref="AM384:AO384" si="717">C384+F384+I384+L384+O384+R384+U384+X384+AA384+AD384+AG384+AJ384</f>
        <v>0</v>
      </c>
      <c r="AN384" s="17">
        <f t="shared" si="717"/>
        <v>0</v>
      </c>
      <c r="AO384" s="17">
        <f t="shared" si="717"/>
        <v>0</v>
      </c>
      <c r="AP384" s="18">
        <f t="shared" ref="AP384:AQ384" si="718">IF(AM384=0,0,AN384/AM384)</f>
        <v>0</v>
      </c>
      <c r="AQ384" s="18">
        <f t="shared" si="718"/>
        <v>0</v>
      </c>
    </row>
    <row r="385" ht="15.75" customHeight="1">
      <c r="A385" s="10">
        <v>46371.0</v>
      </c>
      <c r="B385" s="11" t="s">
        <v>27</v>
      </c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7">
        <f t="shared" ref="AM385:AO385" si="719">C385+F385+I385+L385+O385+R385+U385+X385+AA385+AD385+AG385+AJ385</f>
        <v>0</v>
      </c>
      <c r="AN385" s="17">
        <f t="shared" si="719"/>
        <v>0</v>
      </c>
      <c r="AO385" s="17">
        <f t="shared" si="719"/>
        <v>0</v>
      </c>
      <c r="AP385" s="18">
        <f t="shared" ref="AP385:AQ385" si="720">IF(AM385=0,0,AN385/AM385)</f>
        <v>0</v>
      </c>
      <c r="AQ385" s="18">
        <f t="shared" si="720"/>
        <v>0</v>
      </c>
    </row>
    <row r="386" ht="15.75" customHeight="1">
      <c r="A386" s="10">
        <v>46372.0</v>
      </c>
      <c r="B386" s="11" t="s">
        <v>28</v>
      </c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7">
        <f t="shared" ref="AM386:AO386" si="721">C386+F386+I386+L386+O386+R386+U386+X386+AA386+AD386+AG386+AJ386</f>
        <v>0</v>
      </c>
      <c r="AN386" s="17">
        <f t="shared" si="721"/>
        <v>0</v>
      </c>
      <c r="AO386" s="17">
        <f t="shared" si="721"/>
        <v>0</v>
      </c>
      <c r="AP386" s="18">
        <f t="shared" ref="AP386:AQ386" si="722">IF(AM386=0,0,AN386/AM386)</f>
        <v>0</v>
      </c>
      <c r="AQ386" s="18">
        <f t="shared" si="722"/>
        <v>0</v>
      </c>
    </row>
    <row r="387" ht="15.75" customHeight="1">
      <c r="A387" s="10">
        <v>46373.0</v>
      </c>
      <c r="B387" s="11" t="s">
        <v>22</v>
      </c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7">
        <f t="shared" ref="AM387:AO387" si="723">C387+F387+I387+L387+O387+R387+U387+X387+AA387+AD387+AG387+AJ387</f>
        <v>0</v>
      </c>
      <c r="AN387" s="17">
        <f t="shared" si="723"/>
        <v>0</v>
      </c>
      <c r="AO387" s="17">
        <f t="shared" si="723"/>
        <v>0</v>
      </c>
      <c r="AP387" s="18">
        <f t="shared" ref="AP387:AQ387" si="724">IF(AM387=0,0,AN387/AM387)</f>
        <v>0</v>
      </c>
      <c r="AQ387" s="18">
        <f t="shared" si="724"/>
        <v>0</v>
      </c>
    </row>
    <row r="388" ht="15.75" customHeight="1">
      <c r="A388" s="10">
        <v>46374.0</v>
      </c>
      <c r="B388" s="11" t="s">
        <v>23</v>
      </c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7">
        <f t="shared" ref="AM388:AO388" si="725">C388+F388+I388+L388+O388+R388+U388+X388+AA388+AD388+AG388+AJ388</f>
        <v>0</v>
      </c>
      <c r="AN388" s="17">
        <f t="shared" si="725"/>
        <v>0</v>
      </c>
      <c r="AO388" s="17">
        <f t="shared" si="725"/>
        <v>0</v>
      </c>
      <c r="AP388" s="18">
        <f t="shared" ref="AP388:AQ388" si="726">IF(AM388=0,0,AN388/AM388)</f>
        <v>0</v>
      </c>
      <c r="AQ388" s="18">
        <f t="shared" si="726"/>
        <v>0</v>
      </c>
    </row>
    <row r="389" ht="15.75" customHeight="1">
      <c r="A389" s="10">
        <v>46375.0</v>
      </c>
      <c r="B389" s="11" t="s">
        <v>24</v>
      </c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7">
        <f t="shared" ref="AM389:AO389" si="727">C389+F389+I389+L389+O389+R389+U389+X389+AA389+AD389+AG389+AJ389</f>
        <v>0</v>
      </c>
      <c r="AN389" s="17">
        <f t="shared" si="727"/>
        <v>0</v>
      </c>
      <c r="AO389" s="17">
        <f t="shared" si="727"/>
        <v>0</v>
      </c>
      <c r="AP389" s="18">
        <f t="shared" ref="AP389:AQ389" si="728">IF(AM389=0,0,AN389/AM389)</f>
        <v>0</v>
      </c>
      <c r="AQ389" s="18">
        <f t="shared" si="728"/>
        <v>0</v>
      </c>
    </row>
    <row r="390" ht="15.75" customHeight="1">
      <c r="A390" s="10">
        <v>46376.0</v>
      </c>
      <c r="B390" s="11" t="s">
        <v>25</v>
      </c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7">
        <f t="shared" ref="AM390:AO390" si="729">C390+F390+I390+L390+O390+R390+U390+X390+AA390+AD390+AG390+AJ390</f>
        <v>0</v>
      </c>
      <c r="AN390" s="17">
        <f t="shared" si="729"/>
        <v>0</v>
      </c>
      <c r="AO390" s="17">
        <f t="shared" si="729"/>
        <v>0</v>
      </c>
      <c r="AP390" s="18">
        <f t="shared" ref="AP390:AQ390" si="730">IF(AM390=0,0,AN390/AM390)</f>
        <v>0</v>
      </c>
      <c r="AQ390" s="18">
        <f t="shared" si="730"/>
        <v>0</v>
      </c>
    </row>
    <row r="391" ht="15.75" customHeight="1">
      <c r="A391" s="10">
        <v>46377.0</v>
      </c>
      <c r="B391" s="11" t="s">
        <v>26</v>
      </c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7">
        <f t="shared" ref="AM391:AO391" si="731">C391+F391+I391+L391+O391+R391+U391+X391+AA391+AD391+AG391+AJ391</f>
        <v>0</v>
      </c>
      <c r="AN391" s="17">
        <f t="shared" si="731"/>
        <v>0</v>
      </c>
      <c r="AO391" s="17">
        <f t="shared" si="731"/>
        <v>0</v>
      </c>
      <c r="AP391" s="18">
        <f t="shared" ref="AP391:AQ391" si="732">IF(AM391=0,0,AN391/AM391)</f>
        <v>0</v>
      </c>
      <c r="AQ391" s="18">
        <f t="shared" si="732"/>
        <v>0</v>
      </c>
    </row>
    <row r="392" ht="15.75" customHeight="1">
      <c r="A392" s="10">
        <v>46378.0</v>
      </c>
      <c r="B392" s="11" t="s">
        <v>27</v>
      </c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7">
        <f t="shared" ref="AM392:AO392" si="733">C392+F392+I392+L392+O392+R392+U392+X392+AA392+AD392+AG392+AJ392</f>
        <v>0</v>
      </c>
      <c r="AN392" s="17">
        <f t="shared" si="733"/>
        <v>0</v>
      </c>
      <c r="AO392" s="17">
        <f t="shared" si="733"/>
        <v>0</v>
      </c>
      <c r="AP392" s="18">
        <f t="shared" ref="AP392:AQ392" si="734">IF(AM392=0,0,AN392/AM392)</f>
        <v>0</v>
      </c>
      <c r="AQ392" s="18">
        <f t="shared" si="734"/>
        <v>0</v>
      </c>
    </row>
    <row r="393" ht="15.75" customHeight="1">
      <c r="A393" s="10">
        <v>46379.0</v>
      </c>
      <c r="B393" s="11" t="s">
        <v>28</v>
      </c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7">
        <f t="shared" ref="AM393:AO393" si="735">C393+F393+I393+L393+O393+R393+U393+X393+AA393+AD393+AG393+AJ393</f>
        <v>0</v>
      </c>
      <c r="AN393" s="17">
        <f t="shared" si="735"/>
        <v>0</v>
      </c>
      <c r="AO393" s="17">
        <f t="shared" si="735"/>
        <v>0</v>
      </c>
      <c r="AP393" s="18">
        <f t="shared" ref="AP393:AQ393" si="736">IF(AM393=0,0,AN393/AM393)</f>
        <v>0</v>
      </c>
      <c r="AQ393" s="18">
        <f t="shared" si="736"/>
        <v>0</v>
      </c>
    </row>
    <row r="394" ht="15.75" customHeight="1">
      <c r="A394" s="10">
        <v>46380.0</v>
      </c>
      <c r="B394" s="11" t="s">
        <v>22</v>
      </c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7">
        <f t="shared" ref="AM394:AO394" si="737">C394+F394+I394+L394+O394+R394+U394+X394+AA394+AD394+AG394+AJ394</f>
        <v>0</v>
      </c>
      <c r="AN394" s="17">
        <f t="shared" si="737"/>
        <v>0</v>
      </c>
      <c r="AO394" s="17">
        <f t="shared" si="737"/>
        <v>0</v>
      </c>
      <c r="AP394" s="18">
        <f t="shared" ref="AP394:AQ394" si="738">IF(AM394=0,0,AN394/AM394)</f>
        <v>0</v>
      </c>
      <c r="AQ394" s="18">
        <f t="shared" si="738"/>
        <v>0</v>
      </c>
    </row>
    <row r="395" ht="15.75" customHeight="1">
      <c r="A395" s="10">
        <v>46381.0</v>
      </c>
      <c r="B395" s="11" t="s">
        <v>23</v>
      </c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7">
        <f t="shared" ref="AM395:AO395" si="739">C395+F395+I395+L395+O395+R395+U395+X395+AA395+AD395+AG395+AJ395</f>
        <v>0</v>
      </c>
      <c r="AN395" s="17">
        <f t="shared" si="739"/>
        <v>0</v>
      </c>
      <c r="AO395" s="17">
        <f t="shared" si="739"/>
        <v>0</v>
      </c>
      <c r="AP395" s="18">
        <f t="shared" ref="AP395:AQ395" si="740">IF(AM395=0,0,AN395/AM395)</f>
        <v>0</v>
      </c>
      <c r="AQ395" s="18">
        <f t="shared" si="740"/>
        <v>0</v>
      </c>
    </row>
    <row r="396" ht="15.75" customHeight="1">
      <c r="A396" s="10">
        <v>46382.0</v>
      </c>
      <c r="B396" s="11" t="s">
        <v>24</v>
      </c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7">
        <f t="shared" ref="AM396:AO396" si="741">C396+F396+I396+L396+O396+R396+U396+X396+AA396+AD396+AG396+AJ396</f>
        <v>0</v>
      </c>
      <c r="AN396" s="17">
        <f t="shared" si="741"/>
        <v>0</v>
      </c>
      <c r="AO396" s="17">
        <f t="shared" si="741"/>
        <v>0</v>
      </c>
      <c r="AP396" s="18">
        <f t="shared" ref="AP396:AQ396" si="742">IF(AM396=0,0,AN396/AM396)</f>
        <v>0</v>
      </c>
      <c r="AQ396" s="18">
        <f t="shared" si="742"/>
        <v>0</v>
      </c>
    </row>
    <row r="397" ht="15.75" customHeight="1">
      <c r="A397" s="10">
        <v>46383.0</v>
      </c>
      <c r="B397" s="11" t="s">
        <v>25</v>
      </c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7">
        <f t="shared" ref="AM397:AO397" si="743">C397+F397+I397+L397+O397+R397+U397+X397+AA397+AD397+AG397+AJ397</f>
        <v>0</v>
      </c>
      <c r="AN397" s="17">
        <f t="shared" si="743"/>
        <v>0</v>
      </c>
      <c r="AO397" s="17">
        <f t="shared" si="743"/>
        <v>0</v>
      </c>
      <c r="AP397" s="18">
        <f t="shared" ref="AP397:AQ397" si="744">IF(AM397=0,0,AN397/AM397)</f>
        <v>0</v>
      </c>
      <c r="AQ397" s="18">
        <f t="shared" si="744"/>
        <v>0</v>
      </c>
    </row>
    <row r="398" ht="15.75" customHeight="1">
      <c r="A398" s="10">
        <v>46384.0</v>
      </c>
      <c r="B398" s="11" t="s">
        <v>26</v>
      </c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7">
        <f t="shared" ref="AM398:AO398" si="745">C398+F398+I398+L398+O398+R398+U398+X398+AA398+AD398+AG398+AJ398</f>
        <v>0</v>
      </c>
      <c r="AN398" s="17">
        <f t="shared" si="745"/>
        <v>0</v>
      </c>
      <c r="AO398" s="17">
        <f t="shared" si="745"/>
        <v>0</v>
      </c>
      <c r="AP398" s="18">
        <f t="shared" ref="AP398:AQ398" si="746">IF(AM398=0,0,AN398/AM398)</f>
        <v>0</v>
      </c>
      <c r="AQ398" s="18">
        <f t="shared" si="746"/>
        <v>0</v>
      </c>
    </row>
    <row r="399" ht="15.75" customHeight="1">
      <c r="A399" s="10">
        <v>46385.0</v>
      </c>
      <c r="B399" s="11" t="s">
        <v>27</v>
      </c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7">
        <f t="shared" ref="AM399:AO399" si="747">C399+F399+I399+L399+O399+R399+U399+X399+AA399+AD399+AG399+AJ399</f>
        <v>0</v>
      </c>
      <c r="AN399" s="17">
        <f t="shared" si="747"/>
        <v>0</v>
      </c>
      <c r="AO399" s="17">
        <f t="shared" si="747"/>
        <v>0</v>
      </c>
      <c r="AP399" s="18">
        <f t="shared" ref="AP399:AQ399" si="748">IF(AM399=0,0,AN399/AM399)</f>
        <v>0</v>
      </c>
      <c r="AQ399" s="18">
        <f t="shared" si="748"/>
        <v>0</v>
      </c>
    </row>
    <row r="400" ht="15.75" customHeight="1">
      <c r="A400" s="10">
        <v>46386.0</v>
      </c>
      <c r="B400" s="11" t="s">
        <v>28</v>
      </c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7">
        <f t="shared" ref="AM400:AO400" si="749">C400+F400+I400+L400+O400+R400+U400+X400+AA400+AD400+AG400+AJ400</f>
        <v>0</v>
      </c>
      <c r="AN400" s="17">
        <f t="shared" si="749"/>
        <v>0</v>
      </c>
      <c r="AO400" s="17">
        <f t="shared" si="749"/>
        <v>0</v>
      </c>
      <c r="AP400" s="18">
        <f t="shared" ref="AP400:AQ400" si="750">IF(AM400=0,0,AN400/AM400)</f>
        <v>0</v>
      </c>
      <c r="AQ400" s="18">
        <f t="shared" si="750"/>
        <v>0</v>
      </c>
    </row>
    <row r="401" ht="15.75" customHeight="1">
      <c r="A401" s="10">
        <v>46387.0</v>
      </c>
      <c r="B401" s="11" t="s">
        <v>22</v>
      </c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7">
        <f t="shared" ref="AM401:AO401" si="751">C401+F401+I401+L401+O401+R401+U401+X401+AA401+AD401+AG401+AJ401</f>
        <v>0</v>
      </c>
      <c r="AN401" s="17">
        <f t="shared" si="751"/>
        <v>0</v>
      </c>
      <c r="AO401" s="17">
        <f t="shared" si="751"/>
        <v>0</v>
      </c>
      <c r="AP401" s="18">
        <f t="shared" ref="AP401:AQ401" si="752">IF(AM401=0,0,AN401/AM401)</f>
        <v>0</v>
      </c>
      <c r="AQ401" s="18">
        <f t="shared" si="752"/>
        <v>0</v>
      </c>
    </row>
    <row r="402" ht="15.75" customHeight="1">
      <c r="A402" s="26" t="s">
        <v>51</v>
      </c>
      <c r="B402" s="27"/>
      <c r="C402" s="28">
        <f t="shared" ref="C402:AO402" si="753">SUM(C371:C401)</f>
        <v>0</v>
      </c>
      <c r="D402" s="28">
        <f t="shared" si="753"/>
        <v>0</v>
      </c>
      <c r="E402" s="28">
        <f t="shared" si="753"/>
        <v>0</v>
      </c>
      <c r="F402" s="28">
        <f t="shared" si="753"/>
        <v>0</v>
      </c>
      <c r="G402" s="28">
        <f t="shared" si="753"/>
        <v>0</v>
      </c>
      <c r="H402" s="28">
        <f t="shared" si="753"/>
        <v>0</v>
      </c>
      <c r="I402" s="28">
        <f t="shared" si="753"/>
        <v>0</v>
      </c>
      <c r="J402" s="28">
        <f t="shared" si="753"/>
        <v>0</v>
      </c>
      <c r="K402" s="28">
        <f t="shared" si="753"/>
        <v>0</v>
      </c>
      <c r="L402" s="28">
        <f t="shared" si="753"/>
        <v>0</v>
      </c>
      <c r="M402" s="28">
        <f t="shared" si="753"/>
        <v>0</v>
      </c>
      <c r="N402" s="28">
        <f t="shared" si="753"/>
        <v>0</v>
      </c>
      <c r="O402" s="28">
        <f t="shared" si="753"/>
        <v>0</v>
      </c>
      <c r="P402" s="28">
        <f t="shared" si="753"/>
        <v>0</v>
      </c>
      <c r="Q402" s="28">
        <f t="shared" si="753"/>
        <v>0</v>
      </c>
      <c r="R402" s="28">
        <f t="shared" si="753"/>
        <v>0</v>
      </c>
      <c r="S402" s="28">
        <f t="shared" si="753"/>
        <v>0</v>
      </c>
      <c r="T402" s="28">
        <f t="shared" si="753"/>
        <v>0</v>
      </c>
      <c r="U402" s="28">
        <f t="shared" si="753"/>
        <v>0</v>
      </c>
      <c r="V402" s="28">
        <f t="shared" si="753"/>
        <v>0</v>
      </c>
      <c r="W402" s="28">
        <f t="shared" si="753"/>
        <v>0</v>
      </c>
      <c r="X402" s="28">
        <f t="shared" si="753"/>
        <v>0</v>
      </c>
      <c r="Y402" s="28">
        <f t="shared" si="753"/>
        <v>0</v>
      </c>
      <c r="Z402" s="28">
        <f t="shared" si="753"/>
        <v>0</v>
      </c>
      <c r="AA402" s="28">
        <f t="shared" si="753"/>
        <v>0</v>
      </c>
      <c r="AB402" s="28">
        <f t="shared" si="753"/>
        <v>0</v>
      </c>
      <c r="AC402" s="28">
        <f t="shared" si="753"/>
        <v>0</v>
      </c>
      <c r="AD402" s="28">
        <f t="shared" si="753"/>
        <v>0</v>
      </c>
      <c r="AE402" s="28">
        <f t="shared" si="753"/>
        <v>0</v>
      </c>
      <c r="AF402" s="28">
        <f t="shared" si="753"/>
        <v>0</v>
      </c>
      <c r="AG402" s="28">
        <f t="shared" si="753"/>
        <v>0</v>
      </c>
      <c r="AH402" s="28">
        <f t="shared" si="753"/>
        <v>0</v>
      </c>
      <c r="AI402" s="28">
        <f t="shared" si="753"/>
        <v>0</v>
      </c>
      <c r="AJ402" s="28">
        <f t="shared" si="753"/>
        <v>0</v>
      </c>
      <c r="AK402" s="28">
        <f t="shared" si="753"/>
        <v>0</v>
      </c>
      <c r="AL402" s="28">
        <f t="shared" si="753"/>
        <v>0</v>
      </c>
      <c r="AM402" s="29">
        <f t="shared" si="753"/>
        <v>0</v>
      </c>
      <c r="AN402" s="29">
        <f t="shared" si="753"/>
        <v>0</v>
      </c>
      <c r="AO402" s="29">
        <f t="shared" si="753"/>
        <v>0</v>
      </c>
      <c r="AP402" s="30">
        <f t="shared" ref="AP402:AQ402" si="754">IF(AM402=0,0,AN402/AM402)</f>
        <v>0</v>
      </c>
      <c r="AQ402" s="30">
        <f t="shared" si="754"/>
        <v>0</v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X1:Z1"/>
    <mergeCell ref="AA1:AC1"/>
    <mergeCell ref="AD1:AF1"/>
    <mergeCell ref="AG1:AI1"/>
    <mergeCell ref="AJ1:AL1"/>
    <mergeCell ref="AM1:AQ1"/>
    <mergeCell ref="C1:E1"/>
    <mergeCell ref="F1:H1"/>
    <mergeCell ref="I1:K1"/>
    <mergeCell ref="L1:N1"/>
    <mergeCell ref="O1:Q1"/>
    <mergeCell ref="R1:T1"/>
    <mergeCell ref="U1:W1"/>
    <mergeCell ref="A236:AQ236"/>
    <mergeCell ref="A270:AQ270"/>
    <mergeCell ref="A303:AQ303"/>
    <mergeCell ref="A337:AQ337"/>
    <mergeCell ref="A370:AQ370"/>
    <mergeCell ref="A3:AQ3"/>
    <mergeCell ref="A37:AQ37"/>
    <mergeCell ref="A68:AQ68"/>
    <mergeCell ref="A102:AQ102"/>
    <mergeCell ref="A135:AQ135"/>
    <mergeCell ref="A169:AQ169"/>
    <mergeCell ref="A202:AQ20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4A7A"/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6" width="14.0"/>
    <col customWidth="1" min="7" max="26" width="8.71"/>
  </cols>
  <sheetData>
    <row r="1" ht="36.0" customHeight="1">
      <c r="A1" s="31" t="s">
        <v>52</v>
      </c>
    </row>
    <row r="2">
      <c r="A2" s="32" t="s">
        <v>53</v>
      </c>
    </row>
    <row r="4">
      <c r="A4" s="33" t="s">
        <v>54</v>
      </c>
      <c r="B4" s="4"/>
      <c r="C4" s="4"/>
      <c r="D4" s="4"/>
      <c r="E4" s="4"/>
      <c r="F4" s="4"/>
      <c r="G4" s="4"/>
      <c r="H4" s="5"/>
    </row>
    <row r="5">
      <c r="A5" s="34" t="s">
        <v>55</v>
      </c>
      <c r="B5" s="34" t="s">
        <v>16</v>
      </c>
      <c r="C5" s="34" t="s">
        <v>17</v>
      </c>
      <c r="D5" s="34" t="s">
        <v>56</v>
      </c>
      <c r="E5" s="34" t="s">
        <v>57</v>
      </c>
      <c r="F5" s="34" t="s">
        <v>58</v>
      </c>
    </row>
    <row r="6">
      <c r="A6" s="35" t="s">
        <v>1</v>
      </c>
      <c r="B6" s="17">
        <f>SUM('Daily Input'!C4:C7)</f>
        <v>1</v>
      </c>
      <c r="C6" s="17">
        <f>SUM('Daily Input'!D4:D7)</f>
        <v>1</v>
      </c>
      <c r="D6" s="17">
        <f>SUM('Daily Input'!E4:E7)</f>
        <v>0</v>
      </c>
      <c r="E6" s="36">
        <f t="shared" ref="E6:F6" si="1">IF(B6=0,0,C6/B6)</f>
        <v>1</v>
      </c>
      <c r="F6" s="36">
        <f t="shared" si="1"/>
        <v>0</v>
      </c>
    </row>
    <row r="7">
      <c r="A7" s="35" t="s">
        <v>2</v>
      </c>
      <c r="B7" s="17">
        <f>SUM('Daily Input'!F4:F7)</f>
        <v>0</v>
      </c>
      <c r="C7" s="17">
        <f>SUM('Daily Input'!G4:G7)</f>
        <v>0</v>
      </c>
      <c r="D7" s="17">
        <f>SUM('Daily Input'!H4:H7)</f>
        <v>0</v>
      </c>
      <c r="E7" s="36">
        <f t="shared" ref="E7:F7" si="2">IF(B7=0,0,C7/B7)</f>
        <v>0</v>
      </c>
      <c r="F7" s="36">
        <f t="shared" si="2"/>
        <v>0</v>
      </c>
    </row>
    <row r="8">
      <c r="A8" s="35" t="s">
        <v>3</v>
      </c>
      <c r="B8" s="17">
        <f>SUM('Daily Input'!I4:I7)</f>
        <v>0</v>
      </c>
      <c r="C8" s="17">
        <f>SUM('Daily Input'!J4:J7)</f>
        <v>0</v>
      </c>
      <c r="D8" s="17">
        <f>SUM('Daily Input'!K4:K7)</f>
        <v>0</v>
      </c>
      <c r="E8" s="36">
        <f t="shared" ref="E8:F8" si="3">IF(B8=0,0,C8/B8)</f>
        <v>0</v>
      </c>
      <c r="F8" s="36">
        <f t="shared" si="3"/>
        <v>0</v>
      </c>
    </row>
    <row r="9">
      <c r="A9" s="35" t="s">
        <v>4</v>
      </c>
      <c r="B9" s="17">
        <f>SUM('Daily Input'!L4:L7)</f>
        <v>0</v>
      </c>
      <c r="C9" s="17">
        <f>SUM('Daily Input'!M4:M7)</f>
        <v>0</v>
      </c>
      <c r="D9" s="17">
        <f>SUM('Daily Input'!N4:N7)</f>
        <v>0</v>
      </c>
      <c r="E9" s="36">
        <f t="shared" ref="E9:F9" si="4">IF(B9=0,0,C9/B9)</f>
        <v>0</v>
      </c>
      <c r="F9" s="36">
        <f t="shared" si="4"/>
        <v>0</v>
      </c>
    </row>
    <row r="10">
      <c r="A10" s="35" t="s">
        <v>5</v>
      </c>
      <c r="B10" s="17">
        <f>SUM('Daily Input'!O4:O7)</f>
        <v>0</v>
      </c>
      <c r="C10" s="17">
        <f>SUM('Daily Input'!P4:P7)</f>
        <v>0</v>
      </c>
      <c r="D10" s="17">
        <f>SUM('Daily Input'!Q4:Q7)</f>
        <v>0</v>
      </c>
      <c r="E10" s="36">
        <f t="shared" ref="E10:F10" si="5">IF(B10=0,0,C10/B10)</f>
        <v>0</v>
      </c>
      <c r="F10" s="36">
        <f t="shared" si="5"/>
        <v>0</v>
      </c>
    </row>
    <row r="11">
      <c r="A11" s="35" t="s">
        <v>6</v>
      </c>
      <c r="B11" s="17">
        <f>SUM('Daily Input'!R4:R7)</f>
        <v>0</v>
      </c>
      <c r="C11" s="17">
        <f>SUM('Daily Input'!S4:S7)</f>
        <v>0</v>
      </c>
      <c r="D11" s="17">
        <f>SUM('Daily Input'!T4:T7)</f>
        <v>0</v>
      </c>
      <c r="E11" s="36">
        <f t="shared" ref="E11:F11" si="6">IF(B11=0,0,C11/B11)</f>
        <v>0</v>
      </c>
      <c r="F11" s="36">
        <f t="shared" si="6"/>
        <v>0</v>
      </c>
    </row>
    <row r="12">
      <c r="A12" s="35" t="s">
        <v>7</v>
      </c>
      <c r="B12" s="17">
        <f>SUM('Daily Input'!U4:U7)</f>
        <v>0</v>
      </c>
      <c r="C12" s="17">
        <f>SUM('Daily Input'!V4:V7)</f>
        <v>0</v>
      </c>
      <c r="D12" s="17">
        <f>SUM('Daily Input'!W4:W7)</f>
        <v>0</v>
      </c>
      <c r="E12" s="36">
        <f t="shared" ref="E12:F12" si="7">IF(B12=0,0,C12/B12)</f>
        <v>0</v>
      </c>
      <c r="F12" s="36">
        <f t="shared" si="7"/>
        <v>0</v>
      </c>
    </row>
    <row r="13">
      <c r="A13" s="35" t="s">
        <v>8</v>
      </c>
      <c r="B13" s="17">
        <f>SUM('Daily Input'!X4:X7)</f>
        <v>0</v>
      </c>
      <c r="C13" s="17">
        <f>SUM('Daily Input'!Y4:Y7)</f>
        <v>0</v>
      </c>
      <c r="D13" s="17">
        <f>SUM('Daily Input'!Z4:Z7)</f>
        <v>0</v>
      </c>
      <c r="E13" s="36">
        <f t="shared" ref="E13:F13" si="8">IF(B13=0,0,C13/B13)</f>
        <v>0</v>
      </c>
      <c r="F13" s="36">
        <f t="shared" si="8"/>
        <v>0</v>
      </c>
    </row>
    <row r="14">
      <c r="A14" s="35" t="s">
        <v>9</v>
      </c>
      <c r="B14" s="17">
        <f>SUM('Daily Input'!AA4:AA7)</f>
        <v>0</v>
      </c>
      <c r="C14" s="17">
        <f>SUM('Daily Input'!AB4:AB7)</f>
        <v>0</v>
      </c>
      <c r="D14" s="17">
        <f>SUM('Daily Input'!AC4:AC7)</f>
        <v>0</v>
      </c>
      <c r="E14" s="36">
        <f t="shared" ref="E14:F14" si="9">IF(B14=0,0,C14/B14)</f>
        <v>0</v>
      </c>
      <c r="F14" s="36">
        <f t="shared" si="9"/>
        <v>0</v>
      </c>
    </row>
    <row r="15">
      <c r="A15" s="35" t="s">
        <v>10</v>
      </c>
      <c r="B15" s="17">
        <f>SUM('Daily Input'!AD4:AD7)</f>
        <v>0</v>
      </c>
      <c r="C15" s="17">
        <f>SUM('Daily Input'!AE4:AE7)</f>
        <v>0</v>
      </c>
      <c r="D15" s="17">
        <f>SUM('Daily Input'!AF4:AF7)</f>
        <v>0</v>
      </c>
      <c r="E15" s="36">
        <f t="shared" ref="E15:F15" si="10">IF(B15=0,0,C15/B15)</f>
        <v>0</v>
      </c>
      <c r="F15" s="36">
        <f t="shared" si="10"/>
        <v>0</v>
      </c>
    </row>
    <row r="16">
      <c r="A16" s="35" t="s">
        <v>11</v>
      </c>
      <c r="B16" s="17">
        <f>SUM('Daily Input'!AG4:AG7)</f>
        <v>0</v>
      </c>
      <c r="C16" s="17">
        <f>SUM('Daily Input'!AH4:AH7)</f>
        <v>0</v>
      </c>
      <c r="D16" s="17">
        <f>SUM('Daily Input'!AI4:AI7)</f>
        <v>0</v>
      </c>
      <c r="E16" s="36">
        <f t="shared" ref="E16:F16" si="11">IF(B16=0,0,C16/B16)</f>
        <v>0</v>
      </c>
      <c r="F16" s="36">
        <f t="shared" si="11"/>
        <v>0</v>
      </c>
    </row>
    <row r="17">
      <c r="A17" s="35" t="s">
        <v>12</v>
      </c>
      <c r="B17" s="17">
        <f>SUM('Daily Input'!AJ4:AJ7)</f>
        <v>0</v>
      </c>
      <c r="C17" s="17">
        <f>SUM('Daily Input'!AK4:AK7)</f>
        <v>0</v>
      </c>
      <c r="D17" s="17">
        <f>SUM('Daily Input'!AL4:AL7)</f>
        <v>0</v>
      </c>
      <c r="E17" s="36">
        <f t="shared" ref="E17:F17" si="12">IF(B17=0,0,C17/B17)</f>
        <v>0</v>
      </c>
      <c r="F17" s="36">
        <f t="shared" si="12"/>
        <v>0</v>
      </c>
    </row>
    <row r="18">
      <c r="A18" s="37" t="s">
        <v>59</v>
      </c>
      <c r="B18" s="29">
        <f t="shared" ref="B18:D18" si="13">SUM(B6:B17)</f>
        <v>1</v>
      </c>
      <c r="C18" s="29">
        <f t="shared" si="13"/>
        <v>1</v>
      </c>
      <c r="D18" s="29">
        <f t="shared" si="13"/>
        <v>0</v>
      </c>
      <c r="E18" s="30">
        <f t="shared" ref="E18:F18" si="14">IF(B18=0,0,C18/B18)</f>
        <v>1</v>
      </c>
      <c r="F18" s="30">
        <f t="shared" si="14"/>
        <v>0</v>
      </c>
    </row>
    <row r="20">
      <c r="A20" s="33" t="s">
        <v>60</v>
      </c>
      <c r="B20" s="4"/>
      <c r="C20" s="4"/>
      <c r="D20" s="4"/>
      <c r="E20" s="4"/>
      <c r="F20" s="4"/>
      <c r="G20" s="4"/>
      <c r="H20" s="5"/>
    </row>
    <row r="21" ht="15.75" customHeight="1">
      <c r="A21" s="34" t="s">
        <v>55</v>
      </c>
      <c r="B21" s="34" t="s">
        <v>16</v>
      </c>
      <c r="C21" s="34" t="s">
        <v>17</v>
      </c>
      <c r="D21" s="34" t="s">
        <v>56</v>
      </c>
      <c r="E21" s="34" t="s">
        <v>57</v>
      </c>
      <c r="F21" s="34" t="s">
        <v>58</v>
      </c>
    </row>
    <row r="22" ht="15.75" customHeight="1">
      <c r="A22" s="35" t="s">
        <v>1</v>
      </c>
      <c r="B22" s="17">
        <f>SUM('Daily Input'!C8:C14)</f>
        <v>13</v>
      </c>
      <c r="C22" s="17">
        <f>SUM('Daily Input'!D8:D14)</f>
        <v>5</v>
      </c>
      <c r="D22" s="17">
        <f>SUM('Daily Input'!E8:E14)</f>
        <v>0</v>
      </c>
      <c r="E22" s="36">
        <f t="shared" ref="E22:F22" si="15">IF(B22=0,0,C22/B22)</f>
        <v>0.3846153846</v>
      </c>
      <c r="F22" s="36">
        <f t="shared" si="15"/>
        <v>0</v>
      </c>
    </row>
    <row r="23" ht="15.75" customHeight="1">
      <c r="A23" s="35" t="s">
        <v>2</v>
      </c>
      <c r="B23" s="17">
        <f>SUM('Daily Input'!F8:F14)</f>
        <v>7</v>
      </c>
      <c r="C23" s="17">
        <f>SUM('Daily Input'!G8:G14)</f>
        <v>2</v>
      </c>
      <c r="D23" s="17">
        <f>SUM('Daily Input'!H8:H14)</f>
        <v>0</v>
      </c>
      <c r="E23" s="36">
        <f t="shared" ref="E23:F23" si="16">IF(B23=0,0,C23/B23)</f>
        <v>0.2857142857</v>
      </c>
      <c r="F23" s="36">
        <f t="shared" si="16"/>
        <v>0</v>
      </c>
    </row>
    <row r="24" ht="15.75" customHeight="1">
      <c r="A24" s="35" t="s">
        <v>3</v>
      </c>
      <c r="B24" s="17">
        <f>SUM('Daily Input'!I8:I14)</f>
        <v>1</v>
      </c>
      <c r="C24" s="17">
        <f>SUM('Daily Input'!J8:J14)</f>
        <v>0</v>
      </c>
      <c r="D24" s="17">
        <f>SUM('Daily Input'!K8:K14)</f>
        <v>0</v>
      </c>
      <c r="E24" s="36">
        <f t="shared" ref="E24:F24" si="17">IF(B24=0,0,C24/B24)</f>
        <v>0</v>
      </c>
      <c r="F24" s="36">
        <f t="shared" si="17"/>
        <v>0</v>
      </c>
    </row>
    <row r="25" ht="15.75" customHeight="1">
      <c r="A25" s="35" t="s">
        <v>4</v>
      </c>
      <c r="B25" s="17">
        <f>SUM('Daily Input'!L8:L14)</f>
        <v>3</v>
      </c>
      <c r="C25" s="17">
        <f>SUM('Daily Input'!M8:M14)</f>
        <v>1</v>
      </c>
      <c r="D25" s="17">
        <f>SUM('Daily Input'!N8:N14)</f>
        <v>0</v>
      </c>
      <c r="E25" s="36">
        <f t="shared" ref="E25:F25" si="18">IF(B25=0,0,C25/B25)</f>
        <v>0.3333333333</v>
      </c>
      <c r="F25" s="36">
        <f t="shared" si="18"/>
        <v>0</v>
      </c>
    </row>
    <row r="26" ht="15.75" customHeight="1">
      <c r="A26" s="35" t="s">
        <v>5</v>
      </c>
      <c r="B26" s="17">
        <f>SUM('Daily Input'!O8:O14)</f>
        <v>3</v>
      </c>
      <c r="C26" s="17">
        <f>SUM('Daily Input'!P8:P14)</f>
        <v>2</v>
      </c>
      <c r="D26" s="17">
        <f>SUM('Daily Input'!Q8:Q14)</f>
        <v>0</v>
      </c>
      <c r="E26" s="36">
        <f t="shared" ref="E26:F26" si="19">IF(B26=0,0,C26/B26)</f>
        <v>0.6666666667</v>
      </c>
      <c r="F26" s="36">
        <f t="shared" si="19"/>
        <v>0</v>
      </c>
    </row>
    <row r="27" ht="15.75" customHeight="1">
      <c r="A27" s="35" t="s">
        <v>6</v>
      </c>
      <c r="B27" s="17">
        <f>SUM('Daily Input'!R8:R14)</f>
        <v>5</v>
      </c>
      <c r="C27" s="17">
        <f>SUM('Daily Input'!S8:S14)</f>
        <v>2</v>
      </c>
      <c r="D27" s="17">
        <f>SUM('Daily Input'!T8:T14)</f>
        <v>0</v>
      </c>
      <c r="E27" s="36">
        <f t="shared" ref="E27:F27" si="20">IF(B27=0,0,C27/B27)</f>
        <v>0.4</v>
      </c>
      <c r="F27" s="36">
        <f t="shared" si="20"/>
        <v>0</v>
      </c>
    </row>
    <row r="28" ht="15.75" customHeight="1">
      <c r="A28" s="35" t="s">
        <v>7</v>
      </c>
      <c r="B28" s="17">
        <f>SUM('Daily Input'!U8:U14)</f>
        <v>1</v>
      </c>
      <c r="C28" s="17">
        <f>SUM('Daily Input'!V8:V14)</f>
        <v>1</v>
      </c>
      <c r="D28" s="17">
        <f>SUM('Daily Input'!W8:W14)</f>
        <v>0</v>
      </c>
      <c r="E28" s="36">
        <f t="shared" ref="E28:F28" si="21">IF(B28=0,0,C28/B28)</f>
        <v>1</v>
      </c>
      <c r="F28" s="36">
        <f t="shared" si="21"/>
        <v>0</v>
      </c>
    </row>
    <row r="29" ht="15.75" customHeight="1">
      <c r="A29" s="35" t="s">
        <v>8</v>
      </c>
      <c r="B29" s="17">
        <f>SUM('Daily Input'!X8:X14)</f>
        <v>0</v>
      </c>
      <c r="C29" s="17">
        <f>SUM('Daily Input'!Y8:Y14)</f>
        <v>0</v>
      </c>
      <c r="D29" s="17">
        <f>SUM('Daily Input'!Z8:Z14)</f>
        <v>0</v>
      </c>
      <c r="E29" s="36">
        <f t="shared" ref="E29:F29" si="22">IF(B29=0,0,C29/B29)</f>
        <v>0</v>
      </c>
      <c r="F29" s="36">
        <f t="shared" si="22"/>
        <v>0</v>
      </c>
    </row>
    <row r="30" ht="15.75" customHeight="1">
      <c r="A30" s="35" t="s">
        <v>9</v>
      </c>
      <c r="B30" s="17">
        <f>SUM('Daily Input'!AA8:AA14)</f>
        <v>0</v>
      </c>
      <c r="C30" s="17">
        <f>SUM('Daily Input'!AB8:AB14)</f>
        <v>0</v>
      </c>
      <c r="D30" s="17">
        <f>SUM('Daily Input'!AC8:AC14)</f>
        <v>0</v>
      </c>
      <c r="E30" s="36">
        <f t="shared" ref="E30:F30" si="23">IF(B30=0,0,C30/B30)</f>
        <v>0</v>
      </c>
      <c r="F30" s="36">
        <f t="shared" si="23"/>
        <v>0</v>
      </c>
    </row>
    <row r="31" ht="15.75" customHeight="1">
      <c r="A31" s="35" t="s">
        <v>10</v>
      </c>
      <c r="B31" s="17">
        <f>SUM('Daily Input'!AD8:AD14)</f>
        <v>0</v>
      </c>
      <c r="C31" s="17">
        <f>SUM('Daily Input'!AE8:AE14)</f>
        <v>0</v>
      </c>
      <c r="D31" s="17">
        <f>SUM('Daily Input'!AF8:AF14)</f>
        <v>0</v>
      </c>
      <c r="E31" s="36">
        <f t="shared" ref="E31:F31" si="24">IF(B31=0,0,C31/B31)</f>
        <v>0</v>
      </c>
      <c r="F31" s="36">
        <f t="shared" si="24"/>
        <v>0</v>
      </c>
    </row>
    <row r="32" ht="15.75" customHeight="1">
      <c r="A32" s="35" t="s">
        <v>11</v>
      </c>
      <c r="B32" s="17">
        <f>SUM('Daily Input'!AG8:AG14)</f>
        <v>0</v>
      </c>
      <c r="C32" s="17">
        <f>SUM('Daily Input'!AH8:AH14)</f>
        <v>0</v>
      </c>
      <c r="D32" s="17">
        <f>SUM('Daily Input'!AI8:AI14)</f>
        <v>0</v>
      </c>
      <c r="E32" s="36">
        <f t="shared" ref="E32:F32" si="25">IF(B32=0,0,C32/B32)</f>
        <v>0</v>
      </c>
      <c r="F32" s="36">
        <f t="shared" si="25"/>
        <v>0</v>
      </c>
    </row>
    <row r="33" ht="15.75" customHeight="1">
      <c r="A33" s="35" t="s">
        <v>12</v>
      </c>
      <c r="B33" s="17">
        <f>SUM('Daily Input'!AJ8:AJ14)</f>
        <v>0</v>
      </c>
      <c r="C33" s="17">
        <f>SUM('Daily Input'!AK8:AK14)</f>
        <v>0</v>
      </c>
      <c r="D33" s="17">
        <f>SUM('Daily Input'!AL8:AL14)</f>
        <v>0</v>
      </c>
      <c r="E33" s="36">
        <f t="shared" ref="E33:F33" si="26">IF(B33=0,0,C33/B33)</f>
        <v>0</v>
      </c>
      <c r="F33" s="36">
        <f t="shared" si="26"/>
        <v>0</v>
      </c>
    </row>
    <row r="34" ht="15.75" customHeight="1">
      <c r="A34" s="37" t="s">
        <v>59</v>
      </c>
      <c r="B34" s="29">
        <f t="shared" ref="B34:D34" si="27">SUM(B22:B33)</f>
        <v>33</v>
      </c>
      <c r="C34" s="29">
        <f t="shared" si="27"/>
        <v>13</v>
      </c>
      <c r="D34" s="29">
        <f t="shared" si="27"/>
        <v>0</v>
      </c>
      <c r="E34" s="30">
        <f t="shared" ref="E34:F34" si="28">IF(B34=0,0,C34/B34)</f>
        <v>0.3939393939</v>
      </c>
      <c r="F34" s="30">
        <f t="shared" si="28"/>
        <v>0</v>
      </c>
    </row>
    <row r="35" ht="15.75" customHeight="1"/>
    <row r="36" ht="15.75" customHeight="1">
      <c r="A36" s="33" t="s">
        <v>61</v>
      </c>
      <c r="B36" s="4"/>
      <c r="C36" s="4"/>
      <c r="D36" s="4"/>
      <c r="E36" s="4"/>
      <c r="F36" s="4"/>
      <c r="G36" s="4"/>
      <c r="H36" s="5"/>
    </row>
    <row r="37" ht="15.75" customHeight="1">
      <c r="A37" s="34" t="s">
        <v>55</v>
      </c>
      <c r="B37" s="34" t="s">
        <v>16</v>
      </c>
      <c r="C37" s="34" t="s">
        <v>17</v>
      </c>
      <c r="D37" s="34" t="s">
        <v>56</v>
      </c>
      <c r="E37" s="34" t="s">
        <v>57</v>
      </c>
      <c r="F37" s="34" t="s">
        <v>58</v>
      </c>
    </row>
    <row r="38" ht="15.75" customHeight="1">
      <c r="A38" s="35" t="s">
        <v>1</v>
      </c>
      <c r="B38" s="17">
        <f>SUM('Daily Input'!C15:C21)</f>
        <v>6</v>
      </c>
      <c r="C38" s="17">
        <f>SUM('Daily Input'!D15:D21)</f>
        <v>4</v>
      </c>
      <c r="D38" s="17">
        <f>SUM('Daily Input'!E15:E21)</f>
        <v>0</v>
      </c>
      <c r="E38" s="36">
        <f t="shared" ref="E38:F38" si="29">IF(B38=0,0,C38/B38)</f>
        <v>0.6666666667</v>
      </c>
      <c r="F38" s="36">
        <f t="shared" si="29"/>
        <v>0</v>
      </c>
    </row>
    <row r="39" ht="15.75" customHeight="1">
      <c r="A39" s="35" t="s">
        <v>2</v>
      </c>
      <c r="B39" s="17">
        <f>SUM('Daily Input'!F15:F21)</f>
        <v>5</v>
      </c>
      <c r="C39" s="17">
        <f>SUM('Daily Input'!G15:G21)</f>
        <v>3</v>
      </c>
      <c r="D39" s="17">
        <f>SUM('Daily Input'!H15:H21)</f>
        <v>0</v>
      </c>
      <c r="E39" s="36">
        <f t="shared" ref="E39:F39" si="30">IF(B39=0,0,C39/B39)</f>
        <v>0.6</v>
      </c>
      <c r="F39" s="36">
        <f t="shared" si="30"/>
        <v>0</v>
      </c>
    </row>
    <row r="40" ht="15.75" customHeight="1">
      <c r="A40" s="35" t="s">
        <v>3</v>
      </c>
      <c r="B40" s="17">
        <f>SUM('Daily Input'!I15:I21)</f>
        <v>0</v>
      </c>
      <c r="C40" s="17">
        <f>SUM('Daily Input'!J15:J21)</f>
        <v>0</v>
      </c>
      <c r="D40" s="17">
        <f>SUM('Daily Input'!K15:K21)</f>
        <v>0</v>
      </c>
      <c r="E40" s="36">
        <f t="shared" ref="E40:F40" si="31">IF(B40=0,0,C40/B40)</f>
        <v>0</v>
      </c>
      <c r="F40" s="36">
        <f t="shared" si="31"/>
        <v>0</v>
      </c>
    </row>
    <row r="41" ht="15.75" customHeight="1">
      <c r="A41" s="35" t="s">
        <v>4</v>
      </c>
      <c r="B41" s="17">
        <f>SUM('Daily Input'!L15:L21)</f>
        <v>8</v>
      </c>
      <c r="C41" s="17">
        <f>SUM('Daily Input'!M15:M21)</f>
        <v>4</v>
      </c>
      <c r="D41" s="17">
        <f>SUM('Daily Input'!N15:N21)</f>
        <v>0</v>
      </c>
      <c r="E41" s="36">
        <f t="shared" ref="E41:F41" si="32">IF(B41=0,0,C41/B41)</f>
        <v>0.5</v>
      </c>
      <c r="F41" s="36">
        <f t="shared" si="32"/>
        <v>0</v>
      </c>
    </row>
    <row r="42" ht="15.75" customHeight="1">
      <c r="A42" s="35" t="s">
        <v>5</v>
      </c>
      <c r="B42" s="17">
        <f>SUM('Daily Input'!O15:O21)</f>
        <v>2</v>
      </c>
      <c r="C42" s="17">
        <f>SUM('Daily Input'!P15:P21)</f>
        <v>1</v>
      </c>
      <c r="D42" s="17">
        <f>SUM('Daily Input'!Q15:Q21)</f>
        <v>0</v>
      </c>
      <c r="E42" s="36">
        <f t="shared" ref="E42:F42" si="33">IF(B42=0,0,C42/B42)</f>
        <v>0.5</v>
      </c>
      <c r="F42" s="36">
        <f t="shared" si="33"/>
        <v>0</v>
      </c>
    </row>
    <row r="43" ht="15.75" customHeight="1">
      <c r="A43" s="35" t="s">
        <v>6</v>
      </c>
      <c r="B43" s="17">
        <f>SUM('Daily Input'!R15:R21)</f>
        <v>7</v>
      </c>
      <c r="C43" s="17">
        <f>SUM('Daily Input'!S15:S21)</f>
        <v>3</v>
      </c>
      <c r="D43" s="17">
        <f>SUM('Daily Input'!T15:T21)</f>
        <v>0</v>
      </c>
      <c r="E43" s="36">
        <f t="shared" ref="E43:F43" si="34">IF(B43=0,0,C43/B43)</f>
        <v>0.4285714286</v>
      </c>
      <c r="F43" s="36">
        <f t="shared" si="34"/>
        <v>0</v>
      </c>
    </row>
    <row r="44" ht="15.75" customHeight="1">
      <c r="A44" s="35" t="s">
        <v>7</v>
      </c>
      <c r="B44" s="17">
        <f>SUM('Daily Input'!U15:U21)</f>
        <v>5</v>
      </c>
      <c r="C44" s="17">
        <f>SUM('Daily Input'!V15:V21)</f>
        <v>2</v>
      </c>
      <c r="D44" s="17">
        <f>SUM('Daily Input'!W15:W21)</f>
        <v>0</v>
      </c>
      <c r="E44" s="36">
        <f t="shared" ref="E44:F44" si="35">IF(B44=0,0,C44/B44)</f>
        <v>0.4</v>
      </c>
      <c r="F44" s="36">
        <f t="shared" si="35"/>
        <v>0</v>
      </c>
    </row>
    <row r="45" ht="15.75" customHeight="1">
      <c r="A45" s="35" t="s">
        <v>8</v>
      </c>
      <c r="B45" s="17">
        <f>SUM('Daily Input'!X15:X21)</f>
        <v>0</v>
      </c>
      <c r="C45" s="17">
        <f>SUM('Daily Input'!Y15:Y21)</f>
        <v>0</v>
      </c>
      <c r="D45" s="17">
        <f>SUM('Daily Input'!Z15:Z21)</f>
        <v>0</v>
      </c>
      <c r="E45" s="36">
        <f t="shared" ref="E45:F45" si="36">IF(B45=0,0,C45/B45)</f>
        <v>0</v>
      </c>
      <c r="F45" s="36">
        <f t="shared" si="36"/>
        <v>0</v>
      </c>
    </row>
    <row r="46" ht="15.75" customHeight="1">
      <c r="A46" s="35" t="s">
        <v>9</v>
      </c>
      <c r="B46" s="17">
        <f>SUM('Daily Input'!AA15:AA21)</f>
        <v>0</v>
      </c>
      <c r="C46" s="17">
        <f>SUM('Daily Input'!AB15:AB21)</f>
        <v>0</v>
      </c>
      <c r="D46" s="17">
        <f>SUM('Daily Input'!AC15:AC21)</f>
        <v>0</v>
      </c>
      <c r="E46" s="36">
        <f t="shared" ref="E46:F46" si="37">IF(B46=0,0,C46/B46)</f>
        <v>0</v>
      </c>
      <c r="F46" s="36">
        <f t="shared" si="37"/>
        <v>0</v>
      </c>
    </row>
    <row r="47" ht="15.75" customHeight="1">
      <c r="A47" s="35" t="s">
        <v>10</v>
      </c>
      <c r="B47" s="17">
        <f>SUM('Daily Input'!AD15:AD21)</f>
        <v>0</v>
      </c>
      <c r="C47" s="17">
        <f>SUM('Daily Input'!AE15:AE21)</f>
        <v>0</v>
      </c>
      <c r="D47" s="17">
        <f>SUM('Daily Input'!AF15:AF21)</f>
        <v>0</v>
      </c>
      <c r="E47" s="36">
        <f t="shared" ref="E47:F47" si="38">IF(B47=0,0,C47/B47)</f>
        <v>0</v>
      </c>
      <c r="F47" s="36">
        <f t="shared" si="38"/>
        <v>0</v>
      </c>
    </row>
    <row r="48" ht="15.75" customHeight="1">
      <c r="A48" s="35" t="s">
        <v>11</v>
      </c>
      <c r="B48" s="17">
        <f>SUM('Daily Input'!AG15:AG21)</f>
        <v>0</v>
      </c>
      <c r="C48" s="17">
        <f>SUM('Daily Input'!AH15:AH21)</f>
        <v>0</v>
      </c>
      <c r="D48" s="17">
        <f>SUM('Daily Input'!AI15:AI21)</f>
        <v>0</v>
      </c>
      <c r="E48" s="36">
        <f t="shared" ref="E48:F48" si="39">IF(B48=0,0,C48/B48)</f>
        <v>0</v>
      </c>
      <c r="F48" s="36">
        <f t="shared" si="39"/>
        <v>0</v>
      </c>
    </row>
    <row r="49" ht="15.75" customHeight="1">
      <c r="A49" s="35" t="s">
        <v>12</v>
      </c>
      <c r="B49" s="17">
        <f>SUM('Daily Input'!AJ15:AJ21)</f>
        <v>0</v>
      </c>
      <c r="C49" s="17">
        <f>SUM('Daily Input'!AK15:AK21)</f>
        <v>0</v>
      </c>
      <c r="D49" s="17">
        <f>SUM('Daily Input'!AL15:AL21)</f>
        <v>0</v>
      </c>
      <c r="E49" s="36">
        <f t="shared" ref="E49:F49" si="40">IF(B49=0,0,C49/B49)</f>
        <v>0</v>
      </c>
      <c r="F49" s="36">
        <f t="shared" si="40"/>
        <v>0</v>
      </c>
    </row>
    <row r="50" ht="15.75" customHeight="1">
      <c r="A50" s="37" t="s">
        <v>59</v>
      </c>
      <c r="B50" s="29">
        <f t="shared" ref="B50:D50" si="41">SUM(B38:B49)</f>
        <v>33</v>
      </c>
      <c r="C50" s="29">
        <f t="shared" si="41"/>
        <v>17</v>
      </c>
      <c r="D50" s="29">
        <f t="shared" si="41"/>
        <v>0</v>
      </c>
      <c r="E50" s="30">
        <f t="shared" ref="E50:F50" si="42">IF(B50=0,0,C50/B50)</f>
        <v>0.5151515152</v>
      </c>
      <c r="F50" s="30">
        <f t="shared" si="42"/>
        <v>0</v>
      </c>
    </row>
    <row r="51" ht="15.75" customHeight="1"/>
    <row r="52" ht="15.75" customHeight="1">
      <c r="A52" s="33" t="s">
        <v>62</v>
      </c>
      <c r="B52" s="4"/>
      <c r="C52" s="4"/>
      <c r="D52" s="4"/>
      <c r="E52" s="4"/>
      <c r="F52" s="4"/>
      <c r="G52" s="4"/>
      <c r="H52" s="5"/>
    </row>
    <row r="53" ht="15.75" customHeight="1">
      <c r="A53" s="34" t="s">
        <v>55</v>
      </c>
      <c r="B53" s="34" t="s">
        <v>16</v>
      </c>
      <c r="C53" s="34" t="s">
        <v>17</v>
      </c>
      <c r="D53" s="34" t="s">
        <v>56</v>
      </c>
      <c r="E53" s="34" t="s">
        <v>57</v>
      </c>
      <c r="F53" s="34" t="s">
        <v>58</v>
      </c>
    </row>
    <row r="54" ht="15.75" customHeight="1">
      <c r="A54" s="35" t="s">
        <v>1</v>
      </c>
      <c r="B54" s="17">
        <f>SUM('Daily Input'!C22:C28)</f>
        <v>2</v>
      </c>
      <c r="C54" s="17">
        <f>SUM('Daily Input'!D22:D28)</f>
        <v>1</v>
      </c>
      <c r="D54" s="17">
        <f>SUM('Daily Input'!E22:E28)</f>
        <v>0</v>
      </c>
      <c r="E54" s="36">
        <f t="shared" ref="E54:F54" si="43">IF(B54=0,0,C54/B54)</f>
        <v>0.5</v>
      </c>
      <c r="F54" s="36">
        <f t="shared" si="43"/>
        <v>0</v>
      </c>
    </row>
    <row r="55" ht="15.75" customHeight="1">
      <c r="A55" s="35" t="s">
        <v>2</v>
      </c>
      <c r="B55" s="17">
        <f>SUM('Daily Input'!F22:F28)</f>
        <v>0</v>
      </c>
      <c r="C55" s="17">
        <f>SUM('Daily Input'!G22:G28)</f>
        <v>2</v>
      </c>
      <c r="D55" s="17">
        <f>SUM('Daily Input'!H22:H28)</f>
        <v>0</v>
      </c>
      <c r="E55" s="36">
        <f t="shared" ref="E55:F55" si="44">IF(B55=0,0,C55/B55)</f>
        <v>0</v>
      </c>
      <c r="F55" s="36">
        <f t="shared" si="44"/>
        <v>0</v>
      </c>
    </row>
    <row r="56" ht="15.75" customHeight="1">
      <c r="A56" s="35" t="s">
        <v>3</v>
      </c>
      <c r="B56" s="17">
        <f>SUM('Daily Input'!I22:I28)</f>
        <v>0</v>
      </c>
      <c r="C56" s="17">
        <f>SUM('Daily Input'!J22:J28)</f>
        <v>0</v>
      </c>
      <c r="D56" s="17">
        <f>SUM('Daily Input'!K22:K28)</f>
        <v>0</v>
      </c>
      <c r="E56" s="36">
        <f t="shared" ref="E56:F56" si="45">IF(B56=0,0,C56/B56)</f>
        <v>0</v>
      </c>
      <c r="F56" s="36">
        <f t="shared" si="45"/>
        <v>0</v>
      </c>
    </row>
    <row r="57" ht="15.75" customHeight="1">
      <c r="A57" s="35" t="s">
        <v>4</v>
      </c>
      <c r="B57" s="17">
        <f>SUM('Daily Input'!L22:L28)</f>
        <v>2</v>
      </c>
      <c r="C57" s="17">
        <f>SUM('Daily Input'!M22:M28)</f>
        <v>1</v>
      </c>
      <c r="D57" s="17">
        <f>SUM('Daily Input'!N22:N28)</f>
        <v>0</v>
      </c>
      <c r="E57" s="36">
        <f t="shared" ref="E57:F57" si="46">IF(B57=0,0,C57/B57)</f>
        <v>0.5</v>
      </c>
      <c r="F57" s="36">
        <f t="shared" si="46"/>
        <v>0</v>
      </c>
    </row>
    <row r="58" ht="15.75" customHeight="1">
      <c r="A58" s="35" t="s">
        <v>5</v>
      </c>
      <c r="B58" s="17">
        <f>SUM('Daily Input'!O22:O28)</f>
        <v>4</v>
      </c>
      <c r="C58" s="17">
        <f>SUM('Daily Input'!P22:P28)</f>
        <v>1</v>
      </c>
      <c r="D58" s="17">
        <f>SUM('Daily Input'!Q22:Q28)</f>
        <v>0</v>
      </c>
      <c r="E58" s="36">
        <f t="shared" ref="E58:F58" si="47">IF(B58=0,0,C58/B58)</f>
        <v>0.25</v>
      </c>
      <c r="F58" s="36">
        <f t="shared" si="47"/>
        <v>0</v>
      </c>
    </row>
    <row r="59" ht="15.75" customHeight="1">
      <c r="A59" s="35" t="s">
        <v>6</v>
      </c>
      <c r="B59" s="17">
        <f>SUM('Daily Input'!R22:R28)</f>
        <v>4</v>
      </c>
      <c r="C59" s="17">
        <f>SUM('Daily Input'!S22:S28)</f>
        <v>4</v>
      </c>
      <c r="D59" s="17">
        <f>SUM('Daily Input'!T22:T28)</f>
        <v>0</v>
      </c>
      <c r="E59" s="36">
        <f t="shared" ref="E59:F59" si="48">IF(B59=0,0,C59/B59)</f>
        <v>1</v>
      </c>
      <c r="F59" s="36">
        <f t="shared" si="48"/>
        <v>0</v>
      </c>
    </row>
    <row r="60" ht="15.75" customHeight="1">
      <c r="A60" s="35" t="s">
        <v>7</v>
      </c>
      <c r="B60" s="17">
        <f>SUM('Daily Input'!U22:U28)</f>
        <v>1</v>
      </c>
      <c r="C60" s="17">
        <f>SUM('Daily Input'!V22:V28)</f>
        <v>2</v>
      </c>
      <c r="D60" s="17">
        <f>SUM('Daily Input'!W22:W28)</f>
        <v>0</v>
      </c>
      <c r="E60" s="36">
        <f t="shared" ref="E60:F60" si="49">IF(B60=0,0,C60/B60)</f>
        <v>2</v>
      </c>
      <c r="F60" s="36">
        <f t="shared" si="49"/>
        <v>0</v>
      </c>
    </row>
    <row r="61" ht="15.75" customHeight="1">
      <c r="A61" s="35" t="s">
        <v>8</v>
      </c>
      <c r="B61" s="17">
        <f>SUM('Daily Input'!X22:X28)</f>
        <v>2</v>
      </c>
      <c r="C61" s="17">
        <f>SUM('Daily Input'!Y22:Y28)</f>
        <v>1</v>
      </c>
      <c r="D61" s="17">
        <f>SUM('Daily Input'!Z22:Z28)</f>
        <v>0</v>
      </c>
      <c r="E61" s="36">
        <f t="shared" ref="E61:F61" si="50">IF(B61=0,0,C61/B61)</f>
        <v>0.5</v>
      </c>
      <c r="F61" s="36">
        <f t="shared" si="50"/>
        <v>0</v>
      </c>
    </row>
    <row r="62" ht="15.75" customHeight="1">
      <c r="A62" s="35" t="s">
        <v>9</v>
      </c>
      <c r="B62" s="17">
        <f>SUM('Daily Input'!AA22:AA28)</f>
        <v>2</v>
      </c>
      <c r="C62" s="17">
        <f>SUM('Daily Input'!AB22:AB28)</f>
        <v>0</v>
      </c>
      <c r="D62" s="17">
        <f>SUM('Daily Input'!AC22:AC28)</f>
        <v>0</v>
      </c>
      <c r="E62" s="36">
        <f t="shared" ref="E62:F62" si="51">IF(B62=0,0,C62/B62)</f>
        <v>0</v>
      </c>
      <c r="F62" s="36">
        <f t="shared" si="51"/>
        <v>0</v>
      </c>
    </row>
    <row r="63" ht="15.75" customHeight="1">
      <c r="A63" s="35" t="s">
        <v>10</v>
      </c>
      <c r="B63" s="17">
        <f>SUM('Daily Input'!AD22:AD28)</f>
        <v>0</v>
      </c>
      <c r="C63" s="17">
        <f>SUM('Daily Input'!AE22:AE28)</f>
        <v>0</v>
      </c>
      <c r="D63" s="17">
        <f>SUM('Daily Input'!AF22:AF28)</f>
        <v>0</v>
      </c>
      <c r="E63" s="36">
        <f t="shared" ref="E63:F63" si="52">IF(B63=0,0,C63/B63)</f>
        <v>0</v>
      </c>
      <c r="F63" s="36">
        <f t="shared" si="52"/>
        <v>0</v>
      </c>
    </row>
    <row r="64" ht="15.75" customHeight="1">
      <c r="A64" s="35" t="s">
        <v>11</v>
      </c>
      <c r="B64" s="17">
        <f>SUM('Daily Input'!AG22:AG28)</f>
        <v>0</v>
      </c>
      <c r="C64" s="17">
        <f>SUM('Daily Input'!AH22:AH28)</f>
        <v>0</v>
      </c>
      <c r="D64" s="17">
        <f>SUM('Daily Input'!AI22:AI28)</f>
        <v>0</v>
      </c>
      <c r="E64" s="36">
        <f t="shared" ref="E64:F64" si="53">IF(B64=0,0,C64/B64)</f>
        <v>0</v>
      </c>
      <c r="F64" s="36">
        <f t="shared" si="53"/>
        <v>0</v>
      </c>
    </row>
    <row r="65" ht="15.75" customHeight="1">
      <c r="A65" s="35" t="s">
        <v>12</v>
      </c>
      <c r="B65" s="17">
        <f>SUM('Daily Input'!AJ22:AJ28)</f>
        <v>0</v>
      </c>
      <c r="C65" s="17">
        <f>SUM('Daily Input'!AK22:AK28)</f>
        <v>0</v>
      </c>
      <c r="D65" s="17">
        <f>SUM('Daily Input'!AL22:AL28)</f>
        <v>0</v>
      </c>
      <c r="E65" s="36">
        <f t="shared" ref="E65:F65" si="54">IF(B65=0,0,C65/B65)</f>
        <v>0</v>
      </c>
      <c r="F65" s="36">
        <f t="shared" si="54"/>
        <v>0</v>
      </c>
    </row>
    <row r="66" ht="15.75" customHeight="1">
      <c r="A66" s="37" t="s">
        <v>59</v>
      </c>
      <c r="B66" s="29">
        <f t="shared" ref="B66:D66" si="55">SUM(B54:B65)</f>
        <v>17</v>
      </c>
      <c r="C66" s="29">
        <f t="shared" si="55"/>
        <v>12</v>
      </c>
      <c r="D66" s="29">
        <f t="shared" si="55"/>
        <v>0</v>
      </c>
      <c r="E66" s="30">
        <f t="shared" ref="E66:F66" si="56">IF(B66=0,0,C66/B66)</f>
        <v>0.7058823529</v>
      </c>
      <c r="F66" s="30">
        <f t="shared" si="56"/>
        <v>0</v>
      </c>
    </row>
    <row r="67" ht="15.75" customHeight="1"/>
    <row r="68" ht="15.75" customHeight="1">
      <c r="A68" s="33" t="s">
        <v>63</v>
      </c>
      <c r="B68" s="4"/>
      <c r="C68" s="4"/>
      <c r="D68" s="4"/>
      <c r="E68" s="4"/>
      <c r="F68" s="4"/>
      <c r="G68" s="4"/>
      <c r="H68" s="5"/>
    </row>
    <row r="69" ht="15.75" customHeight="1">
      <c r="A69" s="34" t="s">
        <v>55</v>
      </c>
      <c r="B69" s="34" t="s">
        <v>16</v>
      </c>
      <c r="C69" s="34" t="s">
        <v>17</v>
      </c>
      <c r="D69" s="34" t="s">
        <v>56</v>
      </c>
      <c r="E69" s="34" t="s">
        <v>57</v>
      </c>
      <c r="F69" s="34" t="s">
        <v>58</v>
      </c>
    </row>
    <row r="70" ht="15.75" customHeight="1">
      <c r="A70" s="35" t="s">
        <v>1</v>
      </c>
      <c r="B70" s="17">
        <f>SUM('Daily Input'!C29:C38)</f>
        <v>22</v>
      </c>
      <c r="C70" s="17">
        <f>SUM('Daily Input'!D29:D38)</f>
        <v>15</v>
      </c>
      <c r="D70" s="17">
        <f>SUM('Daily Input'!E29:E38)</f>
        <v>0</v>
      </c>
      <c r="E70" s="36">
        <f t="shared" ref="E70:F70" si="57">IF(B70=0,0,C70/B70)</f>
        <v>0.6818181818</v>
      </c>
      <c r="F70" s="36">
        <f t="shared" si="57"/>
        <v>0</v>
      </c>
    </row>
    <row r="71" ht="15.75" customHeight="1">
      <c r="A71" s="35" t="s">
        <v>2</v>
      </c>
      <c r="B71" s="17">
        <f>SUM('Daily Input'!F29:F38)</f>
        <v>16</v>
      </c>
      <c r="C71" s="17">
        <f>SUM('Daily Input'!G29:G38)</f>
        <v>7</v>
      </c>
      <c r="D71" s="17">
        <f>SUM('Daily Input'!H29:H38)</f>
        <v>0</v>
      </c>
      <c r="E71" s="36">
        <f t="shared" ref="E71:F71" si="58">IF(B71=0,0,C71/B71)</f>
        <v>0.4375</v>
      </c>
      <c r="F71" s="36">
        <f t="shared" si="58"/>
        <v>0</v>
      </c>
    </row>
    <row r="72" ht="15.75" customHeight="1">
      <c r="A72" s="35" t="s">
        <v>3</v>
      </c>
      <c r="B72" s="17">
        <f>SUM('Daily Input'!I29:I38)</f>
        <v>1</v>
      </c>
      <c r="C72" s="17">
        <f>SUM('Daily Input'!J29:J38)</f>
        <v>0</v>
      </c>
      <c r="D72" s="17">
        <f>SUM('Daily Input'!K29:K38)</f>
        <v>0</v>
      </c>
      <c r="E72" s="36">
        <f t="shared" ref="E72:F72" si="59">IF(B72=0,0,C72/B72)</f>
        <v>0</v>
      </c>
      <c r="F72" s="36">
        <f t="shared" si="59"/>
        <v>0</v>
      </c>
    </row>
    <row r="73" ht="15.75" customHeight="1">
      <c r="A73" s="35" t="s">
        <v>4</v>
      </c>
      <c r="B73" s="17">
        <f>SUM('Daily Input'!L29:L38)</f>
        <v>21</v>
      </c>
      <c r="C73" s="17">
        <f>SUM('Daily Input'!M29:M38)</f>
        <v>14</v>
      </c>
      <c r="D73" s="17">
        <f>SUM('Daily Input'!N29:N38)</f>
        <v>0</v>
      </c>
      <c r="E73" s="36">
        <f t="shared" ref="E73:F73" si="60">IF(B73=0,0,C73/B73)</f>
        <v>0.6666666667</v>
      </c>
      <c r="F73" s="36">
        <f t="shared" si="60"/>
        <v>0</v>
      </c>
    </row>
    <row r="74" ht="15.75" customHeight="1">
      <c r="A74" s="35" t="s">
        <v>5</v>
      </c>
      <c r="B74" s="17">
        <f>SUM('Daily Input'!O29:O38)</f>
        <v>11</v>
      </c>
      <c r="C74" s="17">
        <f>SUM('Daily Input'!P29:P38)</f>
        <v>6</v>
      </c>
      <c r="D74" s="17">
        <f>SUM('Daily Input'!Q29:Q38)</f>
        <v>0</v>
      </c>
      <c r="E74" s="36">
        <f t="shared" ref="E74:F74" si="61">IF(B74=0,0,C74/B74)</f>
        <v>0.5454545455</v>
      </c>
      <c r="F74" s="36">
        <f t="shared" si="61"/>
        <v>0</v>
      </c>
    </row>
    <row r="75" ht="15.75" customHeight="1">
      <c r="A75" s="35" t="s">
        <v>6</v>
      </c>
      <c r="B75" s="17">
        <f>SUM('Daily Input'!R29:R38)</f>
        <v>22</v>
      </c>
      <c r="C75" s="17">
        <f>SUM('Daily Input'!S29:S38)</f>
        <v>13</v>
      </c>
      <c r="D75" s="17">
        <f>SUM('Daily Input'!T29:T38)</f>
        <v>0</v>
      </c>
      <c r="E75" s="36">
        <f t="shared" ref="E75:F75" si="62">IF(B75=0,0,C75/B75)</f>
        <v>0.5909090909</v>
      </c>
      <c r="F75" s="36">
        <f t="shared" si="62"/>
        <v>0</v>
      </c>
    </row>
    <row r="76" ht="15.75" customHeight="1">
      <c r="A76" s="35" t="s">
        <v>7</v>
      </c>
      <c r="B76" s="17">
        <f>SUM('Daily Input'!U29:U38)</f>
        <v>11</v>
      </c>
      <c r="C76" s="17">
        <f>SUM('Daily Input'!V29:V38)</f>
        <v>7</v>
      </c>
      <c r="D76" s="17">
        <f>SUM('Daily Input'!W29:W38)</f>
        <v>0</v>
      </c>
      <c r="E76" s="36">
        <f t="shared" ref="E76:F76" si="63">IF(B76=0,0,C76/B76)</f>
        <v>0.6363636364</v>
      </c>
      <c r="F76" s="36">
        <f t="shared" si="63"/>
        <v>0</v>
      </c>
    </row>
    <row r="77" ht="15.75" customHeight="1">
      <c r="A77" s="35" t="s">
        <v>8</v>
      </c>
      <c r="B77" s="17">
        <f>SUM('Daily Input'!X29:X38)</f>
        <v>8</v>
      </c>
      <c r="C77" s="17">
        <f>SUM('Daily Input'!Y29:Y38)</f>
        <v>3</v>
      </c>
      <c r="D77" s="17">
        <f>SUM('Daily Input'!Z29:Z38)</f>
        <v>0</v>
      </c>
      <c r="E77" s="36">
        <f t="shared" ref="E77:F77" si="64">IF(B77=0,0,C77/B77)</f>
        <v>0.375</v>
      </c>
      <c r="F77" s="36">
        <f t="shared" si="64"/>
        <v>0</v>
      </c>
    </row>
    <row r="78" ht="15.75" customHeight="1">
      <c r="A78" s="35" t="s">
        <v>9</v>
      </c>
      <c r="B78" s="17">
        <f>SUM('Daily Input'!AA29:AA38)</f>
        <v>2</v>
      </c>
      <c r="C78" s="17">
        <f>SUM('Daily Input'!AB29:AB38)</f>
        <v>4</v>
      </c>
      <c r="D78" s="17">
        <f>SUM('Daily Input'!AC29:AC38)</f>
        <v>0</v>
      </c>
      <c r="E78" s="36">
        <f t="shared" ref="E78:F78" si="65">IF(B78=0,0,C78/B78)</f>
        <v>2</v>
      </c>
      <c r="F78" s="36">
        <f t="shared" si="65"/>
        <v>0</v>
      </c>
    </row>
    <row r="79" ht="15.75" customHeight="1">
      <c r="A79" s="35" t="s">
        <v>10</v>
      </c>
      <c r="B79" s="17">
        <f>SUM('Daily Input'!AD29:AD38)</f>
        <v>0</v>
      </c>
      <c r="C79" s="17">
        <f>SUM('Daily Input'!AE29:AE38)</f>
        <v>0</v>
      </c>
      <c r="D79" s="17">
        <f>SUM('Daily Input'!AF29:AF38)</f>
        <v>0</v>
      </c>
      <c r="E79" s="36">
        <f t="shared" ref="E79:F79" si="66">IF(B79=0,0,C79/B79)</f>
        <v>0</v>
      </c>
      <c r="F79" s="36">
        <f t="shared" si="66"/>
        <v>0</v>
      </c>
    </row>
    <row r="80" ht="15.75" customHeight="1">
      <c r="A80" s="35" t="s">
        <v>11</v>
      </c>
      <c r="B80" s="17">
        <f>SUM('Daily Input'!AG29:AG38)</f>
        <v>0</v>
      </c>
      <c r="C80" s="17">
        <f>SUM('Daily Input'!AH29:AH38)</f>
        <v>0</v>
      </c>
      <c r="D80" s="17">
        <f>SUM('Daily Input'!AI29:AI38)</f>
        <v>0</v>
      </c>
      <c r="E80" s="36">
        <f t="shared" ref="E80:F80" si="67">IF(B80=0,0,C80/B80)</f>
        <v>0</v>
      </c>
      <c r="F80" s="36">
        <f t="shared" si="67"/>
        <v>0</v>
      </c>
    </row>
    <row r="81" ht="15.75" customHeight="1">
      <c r="A81" s="35" t="s">
        <v>12</v>
      </c>
      <c r="B81" s="17">
        <f>SUM('Daily Input'!AJ29:AJ38)</f>
        <v>0</v>
      </c>
      <c r="C81" s="17">
        <f>SUM('Daily Input'!AK29:AK38)</f>
        <v>0</v>
      </c>
      <c r="D81" s="17">
        <f>SUM('Daily Input'!AL29:AL38)</f>
        <v>0</v>
      </c>
      <c r="E81" s="36">
        <f t="shared" ref="E81:F81" si="68">IF(B81=0,0,C81/B81)</f>
        <v>0</v>
      </c>
      <c r="F81" s="36">
        <f t="shared" si="68"/>
        <v>0</v>
      </c>
    </row>
    <row r="82" ht="15.75" customHeight="1">
      <c r="A82" s="37" t="s">
        <v>59</v>
      </c>
      <c r="B82" s="29">
        <f t="shared" ref="B82:D82" si="69">SUM(B70:B81)</f>
        <v>114</v>
      </c>
      <c r="C82" s="29">
        <f t="shared" si="69"/>
        <v>69</v>
      </c>
      <c r="D82" s="29">
        <f t="shared" si="69"/>
        <v>0</v>
      </c>
      <c r="E82" s="30">
        <f t="shared" ref="E82:F82" si="70">IF(B82=0,0,C82/B82)</f>
        <v>0.6052631579</v>
      </c>
      <c r="F82" s="30">
        <f t="shared" si="70"/>
        <v>0</v>
      </c>
    </row>
    <row r="83" ht="15.75" customHeight="1"/>
    <row r="84" ht="15.75" customHeight="1">
      <c r="A84" s="33" t="s">
        <v>64</v>
      </c>
      <c r="B84" s="4"/>
      <c r="C84" s="4"/>
      <c r="D84" s="4"/>
      <c r="E84" s="4"/>
      <c r="F84" s="4"/>
      <c r="G84" s="4"/>
      <c r="H84" s="5"/>
    </row>
    <row r="85" ht="15.75" customHeight="1">
      <c r="A85" s="34" t="s">
        <v>55</v>
      </c>
      <c r="B85" s="34" t="s">
        <v>16</v>
      </c>
      <c r="C85" s="34" t="s">
        <v>17</v>
      </c>
      <c r="D85" s="34" t="s">
        <v>56</v>
      </c>
      <c r="E85" s="34" t="s">
        <v>57</v>
      </c>
      <c r="F85" s="34" t="s">
        <v>58</v>
      </c>
    </row>
    <row r="86" ht="15.75" customHeight="1">
      <c r="A86" s="35" t="s">
        <v>1</v>
      </c>
      <c r="B86" s="17">
        <f>SUM('Daily Input'!C39:C45)</f>
        <v>0</v>
      </c>
      <c r="C86" s="17">
        <f>SUM('Daily Input'!D39:D45)</f>
        <v>0</v>
      </c>
      <c r="D86" s="17">
        <f>SUM('Daily Input'!E39:E45)</f>
        <v>0</v>
      </c>
      <c r="E86" s="36">
        <f t="shared" ref="E86:F86" si="71">IF(B86=0,0,C86/B86)</f>
        <v>0</v>
      </c>
      <c r="F86" s="36">
        <f t="shared" si="71"/>
        <v>0</v>
      </c>
    </row>
    <row r="87" ht="15.75" customHeight="1">
      <c r="A87" s="35" t="s">
        <v>2</v>
      </c>
      <c r="B87" s="17">
        <f>SUM('Daily Input'!F39:F45)</f>
        <v>0</v>
      </c>
      <c r="C87" s="17">
        <f>SUM('Daily Input'!G39:G45)</f>
        <v>0</v>
      </c>
      <c r="D87" s="17">
        <f>SUM('Daily Input'!H39:H45)</f>
        <v>0</v>
      </c>
      <c r="E87" s="36">
        <f t="shared" ref="E87:F87" si="72">IF(B87=0,0,C87/B87)</f>
        <v>0</v>
      </c>
      <c r="F87" s="36">
        <f t="shared" si="72"/>
        <v>0</v>
      </c>
    </row>
    <row r="88" ht="15.75" customHeight="1">
      <c r="A88" s="35" t="s">
        <v>3</v>
      </c>
      <c r="B88" s="17">
        <f>SUM('Daily Input'!I39:I45)</f>
        <v>0</v>
      </c>
      <c r="C88" s="17">
        <f>SUM('Daily Input'!J39:J45)</f>
        <v>0</v>
      </c>
      <c r="D88" s="17">
        <f>SUM('Daily Input'!K39:K45)</f>
        <v>0</v>
      </c>
      <c r="E88" s="36">
        <f t="shared" ref="E88:F88" si="73">IF(B88=0,0,C88/B88)</f>
        <v>0</v>
      </c>
      <c r="F88" s="36">
        <f t="shared" si="73"/>
        <v>0</v>
      </c>
    </row>
    <row r="89" ht="15.75" customHeight="1">
      <c r="A89" s="35" t="s">
        <v>4</v>
      </c>
      <c r="B89" s="17">
        <f>SUM('Daily Input'!L39:L45)</f>
        <v>0</v>
      </c>
      <c r="C89" s="17">
        <f>SUM('Daily Input'!M39:M45)</f>
        <v>0</v>
      </c>
      <c r="D89" s="17">
        <f>SUM('Daily Input'!N39:N45)</f>
        <v>0</v>
      </c>
      <c r="E89" s="36">
        <f t="shared" ref="E89:F89" si="74">IF(B89=0,0,C89/B89)</f>
        <v>0</v>
      </c>
      <c r="F89" s="36">
        <f t="shared" si="74"/>
        <v>0</v>
      </c>
    </row>
    <row r="90" ht="15.75" customHeight="1">
      <c r="A90" s="35" t="s">
        <v>5</v>
      </c>
      <c r="B90" s="17">
        <f>SUM('Daily Input'!O39:O45)</f>
        <v>0</v>
      </c>
      <c r="C90" s="17">
        <f>SUM('Daily Input'!P39:P45)</f>
        <v>0</v>
      </c>
      <c r="D90" s="17">
        <f>SUM('Daily Input'!Q39:Q45)</f>
        <v>0</v>
      </c>
      <c r="E90" s="36">
        <f t="shared" ref="E90:F90" si="75">IF(B90=0,0,C90/B90)</f>
        <v>0</v>
      </c>
      <c r="F90" s="36">
        <f t="shared" si="75"/>
        <v>0</v>
      </c>
    </row>
    <row r="91" ht="15.75" customHeight="1">
      <c r="A91" s="35" t="s">
        <v>6</v>
      </c>
      <c r="B91" s="17">
        <f>SUM('Daily Input'!R39:R45)</f>
        <v>0</v>
      </c>
      <c r="C91" s="17">
        <f>SUM('Daily Input'!S39:S45)</f>
        <v>0</v>
      </c>
      <c r="D91" s="17">
        <f>SUM('Daily Input'!T39:T45)</f>
        <v>0</v>
      </c>
      <c r="E91" s="36">
        <f t="shared" ref="E91:F91" si="76">IF(B91=0,0,C91/B91)</f>
        <v>0</v>
      </c>
      <c r="F91" s="36">
        <f t="shared" si="76"/>
        <v>0</v>
      </c>
    </row>
    <row r="92" ht="15.75" customHeight="1">
      <c r="A92" s="35" t="s">
        <v>7</v>
      </c>
      <c r="B92" s="17">
        <f>SUM('Daily Input'!U39:U45)</f>
        <v>0</v>
      </c>
      <c r="C92" s="17">
        <f>SUM('Daily Input'!V39:V45)</f>
        <v>0</v>
      </c>
      <c r="D92" s="17">
        <f>SUM('Daily Input'!W39:W45)</f>
        <v>0</v>
      </c>
      <c r="E92" s="36">
        <f t="shared" ref="E92:F92" si="77">IF(B92=0,0,C92/B92)</f>
        <v>0</v>
      </c>
      <c r="F92" s="36">
        <f t="shared" si="77"/>
        <v>0</v>
      </c>
    </row>
    <row r="93" ht="15.75" customHeight="1">
      <c r="A93" s="35" t="s">
        <v>8</v>
      </c>
      <c r="B93" s="17">
        <f>SUM('Daily Input'!X39:X45)</f>
        <v>0</v>
      </c>
      <c r="C93" s="17">
        <f>SUM('Daily Input'!Y39:Y45)</f>
        <v>0</v>
      </c>
      <c r="D93" s="17">
        <f>SUM('Daily Input'!Z39:Z45)</f>
        <v>0</v>
      </c>
      <c r="E93" s="36">
        <f t="shared" ref="E93:F93" si="78">IF(B93=0,0,C93/B93)</f>
        <v>0</v>
      </c>
      <c r="F93" s="36">
        <f t="shared" si="78"/>
        <v>0</v>
      </c>
    </row>
    <row r="94" ht="15.75" customHeight="1">
      <c r="A94" s="35" t="s">
        <v>9</v>
      </c>
      <c r="B94" s="17">
        <f>SUM('Daily Input'!AA39:AA45)</f>
        <v>0</v>
      </c>
      <c r="C94" s="17">
        <f>SUM('Daily Input'!AB39:AB45)</f>
        <v>0</v>
      </c>
      <c r="D94" s="17">
        <f>SUM('Daily Input'!AC39:AC45)</f>
        <v>0</v>
      </c>
      <c r="E94" s="36">
        <f t="shared" ref="E94:F94" si="79">IF(B94=0,0,C94/B94)</f>
        <v>0</v>
      </c>
      <c r="F94" s="36">
        <f t="shared" si="79"/>
        <v>0</v>
      </c>
    </row>
    <row r="95" ht="15.75" customHeight="1">
      <c r="A95" s="35" t="s">
        <v>10</v>
      </c>
      <c r="B95" s="17">
        <f>SUM('Daily Input'!AD39:AD45)</f>
        <v>0</v>
      </c>
      <c r="C95" s="17">
        <f>SUM('Daily Input'!AE39:AE45)</f>
        <v>0</v>
      </c>
      <c r="D95" s="17">
        <f>SUM('Daily Input'!AF39:AF45)</f>
        <v>0</v>
      </c>
      <c r="E95" s="36">
        <f t="shared" ref="E95:F95" si="80">IF(B95=0,0,C95/B95)</f>
        <v>0</v>
      </c>
      <c r="F95" s="36">
        <f t="shared" si="80"/>
        <v>0</v>
      </c>
    </row>
    <row r="96" ht="15.75" customHeight="1">
      <c r="A96" s="35" t="s">
        <v>11</v>
      </c>
      <c r="B96" s="17">
        <f>SUM('Daily Input'!AG39:AG45)</f>
        <v>0</v>
      </c>
      <c r="C96" s="17">
        <f>SUM('Daily Input'!AH39:AH45)</f>
        <v>0</v>
      </c>
      <c r="D96" s="17">
        <f>SUM('Daily Input'!AI39:AI45)</f>
        <v>0</v>
      </c>
      <c r="E96" s="36">
        <f t="shared" ref="E96:F96" si="81">IF(B96=0,0,C96/B96)</f>
        <v>0</v>
      </c>
      <c r="F96" s="36">
        <f t="shared" si="81"/>
        <v>0</v>
      </c>
    </row>
    <row r="97" ht="15.75" customHeight="1">
      <c r="A97" s="35" t="s">
        <v>12</v>
      </c>
      <c r="B97" s="17">
        <f>SUM('Daily Input'!AJ39:AJ45)</f>
        <v>0</v>
      </c>
      <c r="C97" s="17">
        <f>SUM('Daily Input'!AK39:AK45)</f>
        <v>0</v>
      </c>
      <c r="D97" s="17">
        <f>SUM('Daily Input'!AL39:AL45)</f>
        <v>0</v>
      </c>
      <c r="E97" s="36">
        <f t="shared" ref="E97:F97" si="82">IF(B97=0,0,C97/B97)</f>
        <v>0</v>
      </c>
      <c r="F97" s="36">
        <f t="shared" si="82"/>
        <v>0</v>
      </c>
    </row>
    <row r="98" ht="15.75" customHeight="1">
      <c r="A98" s="37" t="s">
        <v>59</v>
      </c>
      <c r="B98" s="29">
        <f t="shared" ref="B98:D98" si="83">SUM(B86:B97)</f>
        <v>0</v>
      </c>
      <c r="C98" s="29">
        <f t="shared" si="83"/>
        <v>0</v>
      </c>
      <c r="D98" s="29">
        <f t="shared" si="83"/>
        <v>0</v>
      </c>
      <c r="E98" s="30">
        <f t="shared" ref="E98:F98" si="84">IF(B98=0,0,C98/B98)</f>
        <v>0</v>
      </c>
      <c r="F98" s="30">
        <f t="shared" si="84"/>
        <v>0</v>
      </c>
    </row>
    <row r="99" ht="15.75" customHeight="1"/>
    <row r="100" ht="15.75" customHeight="1">
      <c r="A100" s="33" t="s">
        <v>65</v>
      </c>
      <c r="B100" s="4"/>
      <c r="C100" s="4"/>
      <c r="D100" s="4"/>
      <c r="E100" s="4"/>
      <c r="F100" s="4"/>
      <c r="G100" s="4"/>
      <c r="H100" s="5"/>
    </row>
    <row r="101" ht="15.75" customHeight="1">
      <c r="A101" s="34" t="s">
        <v>55</v>
      </c>
      <c r="B101" s="34" t="s">
        <v>16</v>
      </c>
      <c r="C101" s="34" t="s">
        <v>17</v>
      </c>
      <c r="D101" s="34" t="s">
        <v>56</v>
      </c>
      <c r="E101" s="34" t="s">
        <v>57</v>
      </c>
      <c r="F101" s="34" t="s">
        <v>58</v>
      </c>
    </row>
    <row r="102" ht="15.75" customHeight="1">
      <c r="A102" s="35" t="s">
        <v>1</v>
      </c>
      <c r="B102" s="17">
        <f>SUM('Daily Input'!C46:C52)</f>
        <v>0</v>
      </c>
      <c r="C102" s="17">
        <f>SUM('Daily Input'!D46:D52)</f>
        <v>0</v>
      </c>
      <c r="D102" s="17">
        <f>SUM('Daily Input'!E46:E52)</f>
        <v>0</v>
      </c>
      <c r="E102" s="36">
        <f t="shared" ref="E102:F102" si="85">IF(B102=0,0,C102/B102)</f>
        <v>0</v>
      </c>
      <c r="F102" s="36">
        <f t="shared" si="85"/>
        <v>0</v>
      </c>
    </row>
    <row r="103" ht="15.75" customHeight="1">
      <c r="A103" s="35" t="s">
        <v>2</v>
      </c>
      <c r="B103" s="17">
        <f>SUM('Daily Input'!F46:F52)</f>
        <v>0</v>
      </c>
      <c r="C103" s="17">
        <f>SUM('Daily Input'!G46:G52)</f>
        <v>0</v>
      </c>
      <c r="D103" s="17">
        <f>SUM('Daily Input'!H46:H52)</f>
        <v>0</v>
      </c>
      <c r="E103" s="36">
        <f t="shared" ref="E103:F103" si="86">IF(B103=0,0,C103/B103)</f>
        <v>0</v>
      </c>
      <c r="F103" s="36">
        <f t="shared" si="86"/>
        <v>0</v>
      </c>
    </row>
    <row r="104" ht="15.75" customHeight="1">
      <c r="A104" s="35" t="s">
        <v>3</v>
      </c>
      <c r="B104" s="17">
        <f>SUM('Daily Input'!I46:I52)</f>
        <v>0</v>
      </c>
      <c r="C104" s="17">
        <f>SUM('Daily Input'!J46:J52)</f>
        <v>0</v>
      </c>
      <c r="D104" s="17">
        <f>SUM('Daily Input'!K46:K52)</f>
        <v>0</v>
      </c>
      <c r="E104" s="36">
        <f t="shared" ref="E104:F104" si="87">IF(B104=0,0,C104/B104)</f>
        <v>0</v>
      </c>
      <c r="F104" s="36">
        <f t="shared" si="87"/>
        <v>0</v>
      </c>
    </row>
    <row r="105" ht="15.75" customHeight="1">
      <c r="A105" s="35" t="s">
        <v>4</v>
      </c>
      <c r="B105" s="17">
        <f>SUM('Daily Input'!L46:L52)</f>
        <v>0</v>
      </c>
      <c r="C105" s="17">
        <f>SUM('Daily Input'!M46:M52)</f>
        <v>0</v>
      </c>
      <c r="D105" s="17">
        <f>SUM('Daily Input'!N46:N52)</f>
        <v>0</v>
      </c>
      <c r="E105" s="36">
        <f t="shared" ref="E105:F105" si="88">IF(B105=0,0,C105/B105)</f>
        <v>0</v>
      </c>
      <c r="F105" s="36">
        <f t="shared" si="88"/>
        <v>0</v>
      </c>
    </row>
    <row r="106" ht="15.75" customHeight="1">
      <c r="A106" s="35" t="s">
        <v>5</v>
      </c>
      <c r="B106" s="17">
        <f>SUM('Daily Input'!O46:O52)</f>
        <v>0</v>
      </c>
      <c r="C106" s="17">
        <f>SUM('Daily Input'!P46:P52)</f>
        <v>0</v>
      </c>
      <c r="D106" s="17">
        <f>SUM('Daily Input'!Q46:Q52)</f>
        <v>0</v>
      </c>
      <c r="E106" s="36">
        <f t="shared" ref="E106:F106" si="89">IF(B106=0,0,C106/B106)</f>
        <v>0</v>
      </c>
      <c r="F106" s="36">
        <f t="shared" si="89"/>
        <v>0</v>
      </c>
    </row>
    <row r="107" ht="15.75" customHeight="1">
      <c r="A107" s="35" t="s">
        <v>6</v>
      </c>
      <c r="B107" s="17">
        <f>SUM('Daily Input'!R46:R52)</f>
        <v>0</v>
      </c>
      <c r="C107" s="17">
        <f>SUM('Daily Input'!S46:S52)</f>
        <v>0</v>
      </c>
      <c r="D107" s="17">
        <f>SUM('Daily Input'!T46:T52)</f>
        <v>0</v>
      </c>
      <c r="E107" s="36">
        <f t="shared" ref="E107:F107" si="90">IF(B107=0,0,C107/B107)</f>
        <v>0</v>
      </c>
      <c r="F107" s="36">
        <f t="shared" si="90"/>
        <v>0</v>
      </c>
    </row>
    <row r="108" ht="15.75" customHeight="1">
      <c r="A108" s="35" t="s">
        <v>7</v>
      </c>
      <c r="B108" s="17">
        <f>SUM('Daily Input'!U46:U52)</f>
        <v>0</v>
      </c>
      <c r="C108" s="17">
        <f>SUM('Daily Input'!V46:V52)</f>
        <v>0</v>
      </c>
      <c r="D108" s="17">
        <f>SUM('Daily Input'!W46:W52)</f>
        <v>0</v>
      </c>
      <c r="E108" s="36">
        <f t="shared" ref="E108:F108" si="91">IF(B108=0,0,C108/B108)</f>
        <v>0</v>
      </c>
      <c r="F108" s="36">
        <f t="shared" si="91"/>
        <v>0</v>
      </c>
    </row>
    <row r="109" ht="15.75" customHeight="1">
      <c r="A109" s="35" t="s">
        <v>8</v>
      </c>
      <c r="B109" s="17">
        <f>SUM('Daily Input'!X46:X52)</f>
        <v>0</v>
      </c>
      <c r="C109" s="17">
        <f>SUM('Daily Input'!Y46:Y52)</f>
        <v>0</v>
      </c>
      <c r="D109" s="17">
        <f>SUM('Daily Input'!Z46:Z52)</f>
        <v>0</v>
      </c>
      <c r="E109" s="36">
        <f t="shared" ref="E109:F109" si="92">IF(B109=0,0,C109/B109)</f>
        <v>0</v>
      </c>
      <c r="F109" s="36">
        <f t="shared" si="92"/>
        <v>0</v>
      </c>
    </row>
    <row r="110" ht="15.75" customHeight="1">
      <c r="A110" s="35" t="s">
        <v>9</v>
      </c>
      <c r="B110" s="17">
        <f>SUM('Daily Input'!AA46:AA52)</f>
        <v>0</v>
      </c>
      <c r="C110" s="17">
        <f>SUM('Daily Input'!AB46:AB52)</f>
        <v>0</v>
      </c>
      <c r="D110" s="17">
        <f>SUM('Daily Input'!AC46:AC52)</f>
        <v>0</v>
      </c>
      <c r="E110" s="36">
        <f t="shared" ref="E110:F110" si="93">IF(B110=0,0,C110/B110)</f>
        <v>0</v>
      </c>
      <c r="F110" s="36">
        <f t="shared" si="93"/>
        <v>0</v>
      </c>
    </row>
    <row r="111" ht="15.75" customHeight="1">
      <c r="A111" s="35" t="s">
        <v>10</v>
      </c>
      <c r="B111" s="17">
        <f>SUM('Daily Input'!AD46:AD52)</f>
        <v>0</v>
      </c>
      <c r="C111" s="17">
        <f>SUM('Daily Input'!AE46:AE52)</f>
        <v>0</v>
      </c>
      <c r="D111" s="17">
        <f>SUM('Daily Input'!AF46:AF52)</f>
        <v>0</v>
      </c>
      <c r="E111" s="36">
        <f t="shared" ref="E111:F111" si="94">IF(B111=0,0,C111/B111)</f>
        <v>0</v>
      </c>
      <c r="F111" s="36">
        <f t="shared" si="94"/>
        <v>0</v>
      </c>
    </row>
    <row r="112" ht="15.75" customHeight="1">
      <c r="A112" s="35" t="s">
        <v>11</v>
      </c>
      <c r="B112" s="17">
        <f>SUM('Daily Input'!AG46:AG52)</f>
        <v>0</v>
      </c>
      <c r="C112" s="17">
        <f>SUM('Daily Input'!AH46:AH52)</f>
        <v>0</v>
      </c>
      <c r="D112" s="17">
        <f>SUM('Daily Input'!AI46:AI52)</f>
        <v>0</v>
      </c>
      <c r="E112" s="36">
        <f t="shared" ref="E112:F112" si="95">IF(B112=0,0,C112/B112)</f>
        <v>0</v>
      </c>
      <c r="F112" s="36">
        <f t="shared" si="95"/>
        <v>0</v>
      </c>
    </row>
    <row r="113" ht="15.75" customHeight="1">
      <c r="A113" s="35" t="s">
        <v>12</v>
      </c>
      <c r="B113" s="17">
        <f>SUM('Daily Input'!AJ46:AJ52)</f>
        <v>0</v>
      </c>
      <c r="C113" s="17">
        <f>SUM('Daily Input'!AK46:AK52)</f>
        <v>0</v>
      </c>
      <c r="D113" s="17">
        <f>SUM('Daily Input'!AL46:AL52)</f>
        <v>0</v>
      </c>
      <c r="E113" s="36">
        <f t="shared" ref="E113:F113" si="96">IF(B113=0,0,C113/B113)</f>
        <v>0</v>
      </c>
      <c r="F113" s="36">
        <f t="shared" si="96"/>
        <v>0</v>
      </c>
    </row>
    <row r="114" ht="15.75" customHeight="1">
      <c r="A114" s="37" t="s">
        <v>59</v>
      </c>
      <c r="B114" s="29">
        <f t="shared" ref="B114:D114" si="97">SUM(B102:B113)</f>
        <v>0</v>
      </c>
      <c r="C114" s="29">
        <f t="shared" si="97"/>
        <v>0</v>
      </c>
      <c r="D114" s="29">
        <f t="shared" si="97"/>
        <v>0</v>
      </c>
      <c r="E114" s="30">
        <f t="shared" ref="E114:F114" si="98">IF(B114=0,0,C114/B114)</f>
        <v>0</v>
      </c>
      <c r="F114" s="30">
        <f t="shared" si="98"/>
        <v>0</v>
      </c>
    </row>
    <row r="115" ht="15.75" customHeight="1"/>
    <row r="116" ht="15.75" customHeight="1">
      <c r="A116" s="33" t="s">
        <v>66</v>
      </c>
      <c r="B116" s="4"/>
      <c r="C116" s="4"/>
      <c r="D116" s="4"/>
      <c r="E116" s="4"/>
      <c r="F116" s="4"/>
      <c r="G116" s="4"/>
      <c r="H116" s="5"/>
    </row>
    <row r="117" ht="15.75" customHeight="1">
      <c r="A117" s="34" t="s">
        <v>55</v>
      </c>
      <c r="B117" s="34" t="s">
        <v>16</v>
      </c>
      <c r="C117" s="34" t="s">
        <v>17</v>
      </c>
      <c r="D117" s="34" t="s">
        <v>56</v>
      </c>
      <c r="E117" s="34" t="s">
        <v>57</v>
      </c>
      <c r="F117" s="34" t="s">
        <v>58</v>
      </c>
    </row>
    <row r="118" ht="15.75" customHeight="1">
      <c r="A118" s="35" t="s">
        <v>1</v>
      </c>
      <c r="B118" s="17">
        <f>SUM('Daily Input'!C53:C59)</f>
        <v>0</v>
      </c>
      <c r="C118" s="17">
        <f>SUM('Daily Input'!D53:D59)</f>
        <v>0</v>
      </c>
      <c r="D118" s="17">
        <f>SUM('Daily Input'!E53:E59)</f>
        <v>0</v>
      </c>
      <c r="E118" s="36">
        <f t="shared" ref="E118:F118" si="99">IF(B118=0,0,C118/B118)</f>
        <v>0</v>
      </c>
      <c r="F118" s="36">
        <f t="shared" si="99"/>
        <v>0</v>
      </c>
    </row>
    <row r="119" ht="15.75" customHeight="1">
      <c r="A119" s="35" t="s">
        <v>2</v>
      </c>
      <c r="B119" s="17">
        <f>SUM('Daily Input'!F53:F59)</f>
        <v>0</v>
      </c>
      <c r="C119" s="17">
        <f>SUM('Daily Input'!G53:G59)</f>
        <v>0</v>
      </c>
      <c r="D119" s="17">
        <f>SUM('Daily Input'!H53:H59)</f>
        <v>0</v>
      </c>
      <c r="E119" s="36">
        <f t="shared" ref="E119:F119" si="100">IF(B119=0,0,C119/B119)</f>
        <v>0</v>
      </c>
      <c r="F119" s="36">
        <f t="shared" si="100"/>
        <v>0</v>
      </c>
    </row>
    <row r="120" ht="15.75" customHeight="1">
      <c r="A120" s="35" t="s">
        <v>3</v>
      </c>
      <c r="B120" s="17">
        <f>SUM('Daily Input'!I53:I59)</f>
        <v>0</v>
      </c>
      <c r="C120" s="17">
        <f>SUM('Daily Input'!J53:J59)</f>
        <v>0</v>
      </c>
      <c r="D120" s="17">
        <f>SUM('Daily Input'!K53:K59)</f>
        <v>0</v>
      </c>
      <c r="E120" s="36">
        <f t="shared" ref="E120:F120" si="101">IF(B120=0,0,C120/B120)</f>
        <v>0</v>
      </c>
      <c r="F120" s="36">
        <f t="shared" si="101"/>
        <v>0</v>
      </c>
    </row>
    <row r="121" ht="15.75" customHeight="1">
      <c r="A121" s="35" t="s">
        <v>4</v>
      </c>
      <c r="B121" s="17">
        <f>SUM('Daily Input'!L53:L59)</f>
        <v>0</v>
      </c>
      <c r="C121" s="17">
        <f>SUM('Daily Input'!M53:M59)</f>
        <v>0</v>
      </c>
      <c r="D121" s="17">
        <f>SUM('Daily Input'!N53:N59)</f>
        <v>0</v>
      </c>
      <c r="E121" s="36">
        <f t="shared" ref="E121:F121" si="102">IF(B121=0,0,C121/B121)</f>
        <v>0</v>
      </c>
      <c r="F121" s="36">
        <f t="shared" si="102"/>
        <v>0</v>
      </c>
    </row>
    <row r="122" ht="15.75" customHeight="1">
      <c r="A122" s="35" t="s">
        <v>5</v>
      </c>
      <c r="B122" s="17">
        <f>SUM('Daily Input'!O53:O59)</f>
        <v>0</v>
      </c>
      <c r="C122" s="17">
        <f>SUM('Daily Input'!P53:P59)</f>
        <v>0</v>
      </c>
      <c r="D122" s="17">
        <f>SUM('Daily Input'!Q53:Q59)</f>
        <v>0</v>
      </c>
      <c r="E122" s="36">
        <f t="shared" ref="E122:F122" si="103">IF(B122=0,0,C122/B122)</f>
        <v>0</v>
      </c>
      <c r="F122" s="36">
        <f t="shared" si="103"/>
        <v>0</v>
      </c>
    </row>
    <row r="123" ht="15.75" customHeight="1">
      <c r="A123" s="35" t="s">
        <v>6</v>
      </c>
      <c r="B123" s="17">
        <f>SUM('Daily Input'!R53:R59)</f>
        <v>0</v>
      </c>
      <c r="C123" s="17">
        <f>SUM('Daily Input'!S53:S59)</f>
        <v>0</v>
      </c>
      <c r="D123" s="17">
        <f>SUM('Daily Input'!T53:T59)</f>
        <v>0</v>
      </c>
      <c r="E123" s="36">
        <f t="shared" ref="E123:F123" si="104">IF(B123=0,0,C123/B123)</f>
        <v>0</v>
      </c>
      <c r="F123" s="36">
        <f t="shared" si="104"/>
        <v>0</v>
      </c>
    </row>
    <row r="124" ht="15.75" customHeight="1">
      <c r="A124" s="35" t="s">
        <v>7</v>
      </c>
      <c r="B124" s="17">
        <f>SUM('Daily Input'!U53:U59)</f>
        <v>0</v>
      </c>
      <c r="C124" s="17">
        <f>SUM('Daily Input'!V53:V59)</f>
        <v>0</v>
      </c>
      <c r="D124" s="17">
        <f>SUM('Daily Input'!W53:W59)</f>
        <v>0</v>
      </c>
      <c r="E124" s="36">
        <f t="shared" ref="E124:F124" si="105">IF(B124=0,0,C124/B124)</f>
        <v>0</v>
      </c>
      <c r="F124" s="36">
        <f t="shared" si="105"/>
        <v>0</v>
      </c>
    </row>
    <row r="125" ht="15.75" customHeight="1">
      <c r="A125" s="35" t="s">
        <v>8</v>
      </c>
      <c r="B125" s="17">
        <f>SUM('Daily Input'!X53:X59)</f>
        <v>0</v>
      </c>
      <c r="C125" s="17">
        <f>SUM('Daily Input'!Y53:Y59)</f>
        <v>0</v>
      </c>
      <c r="D125" s="17">
        <f>SUM('Daily Input'!Z53:Z59)</f>
        <v>0</v>
      </c>
      <c r="E125" s="36">
        <f t="shared" ref="E125:F125" si="106">IF(B125=0,0,C125/B125)</f>
        <v>0</v>
      </c>
      <c r="F125" s="36">
        <f t="shared" si="106"/>
        <v>0</v>
      </c>
    </row>
    <row r="126" ht="15.75" customHeight="1">
      <c r="A126" s="35" t="s">
        <v>9</v>
      </c>
      <c r="B126" s="17">
        <f>SUM('Daily Input'!AA53:AA59)</f>
        <v>0</v>
      </c>
      <c r="C126" s="17">
        <f>SUM('Daily Input'!AB53:AB59)</f>
        <v>0</v>
      </c>
      <c r="D126" s="17">
        <f>SUM('Daily Input'!AC53:AC59)</f>
        <v>0</v>
      </c>
      <c r="E126" s="36">
        <f t="shared" ref="E126:F126" si="107">IF(B126=0,0,C126/B126)</f>
        <v>0</v>
      </c>
      <c r="F126" s="36">
        <f t="shared" si="107"/>
        <v>0</v>
      </c>
    </row>
    <row r="127" ht="15.75" customHeight="1">
      <c r="A127" s="35" t="s">
        <v>10</v>
      </c>
      <c r="B127" s="17">
        <f>SUM('Daily Input'!AD53:AD59)</f>
        <v>0</v>
      </c>
      <c r="C127" s="17">
        <f>SUM('Daily Input'!AE53:AE59)</f>
        <v>0</v>
      </c>
      <c r="D127" s="17">
        <f>SUM('Daily Input'!AF53:AF59)</f>
        <v>0</v>
      </c>
      <c r="E127" s="36">
        <f t="shared" ref="E127:F127" si="108">IF(B127=0,0,C127/B127)</f>
        <v>0</v>
      </c>
      <c r="F127" s="36">
        <f t="shared" si="108"/>
        <v>0</v>
      </c>
    </row>
    <row r="128" ht="15.75" customHeight="1">
      <c r="A128" s="35" t="s">
        <v>11</v>
      </c>
      <c r="B128" s="17">
        <f>SUM('Daily Input'!AG53:AG59)</f>
        <v>0</v>
      </c>
      <c r="C128" s="17">
        <f>SUM('Daily Input'!AH53:AH59)</f>
        <v>0</v>
      </c>
      <c r="D128" s="17">
        <f>SUM('Daily Input'!AI53:AI59)</f>
        <v>0</v>
      </c>
      <c r="E128" s="36">
        <f t="shared" ref="E128:F128" si="109">IF(B128=0,0,C128/B128)</f>
        <v>0</v>
      </c>
      <c r="F128" s="36">
        <f t="shared" si="109"/>
        <v>0</v>
      </c>
    </row>
    <row r="129" ht="15.75" customHeight="1">
      <c r="A129" s="35" t="s">
        <v>12</v>
      </c>
      <c r="B129" s="17">
        <f>SUM('Daily Input'!AJ53:AJ59)</f>
        <v>0</v>
      </c>
      <c r="C129" s="17">
        <f>SUM('Daily Input'!AK53:AK59)</f>
        <v>0</v>
      </c>
      <c r="D129" s="17">
        <f>SUM('Daily Input'!AL53:AL59)</f>
        <v>0</v>
      </c>
      <c r="E129" s="36">
        <f t="shared" ref="E129:F129" si="110">IF(B129=0,0,C129/B129)</f>
        <v>0</v>
      </c>
      <c r="F129" s="36">
        <f t="shared" si="110"/>
        <v>0</v>
      </c>
    </row>
    <row r="130" ht="15.75" customHeight="1">
      <c r="A130" s="37" t="s">
        <v>59</v>
      </c>
      <c r="B130" s="29">
        <f t="shared" ref="B130:D130" si="111">SUM(B118:B129)</f>
        <v>0</v>
      </c>
      <c r="C130" s="29">
        <f t="shared" si="111"/>
        <v>0</v>
      </c>
      <c r="D130" s="29">
        <f t="shared" si="111"/>
        <v>0</v>
      </c>
      <c r="E130" s="30">
        <f t="shared" ref="E130:F130" si="112">IF(B130=0,0,C130/B130)</f>
        <v>0</v>
      </c>
      <c r="F130" s="30">
        <f t="shared" si="112"/>
        <v>0</v>
      </c>
    </row>
    <row r="131" ht="15.75" customHeight="1"/>
    <row r="132" ht="15.75" customHeight="1">
      <c r="A132" s="33" t="s">
        <v>67</v>
      </c>
      <c r="B132" s="4"/>
      <c r="C132" s="4"/>
      <c r="D132" s="4"/>
      <c r="E132" s="4"/>
      <c r="F132" s="4"/>
      <c r="G132" s="4"/>
      <c r="H132" s="5"/>
    </row>
    <row r="133" ht="15.75" customHeight="1">
      <c r="A133" s="34" t="s">
        <v>55</v>
      </c>
      <c r="B133" s="34" t="s">
        <v>16</v>
      </c>
      <c r="C133" s="34" t="s">
        <v>17</v>
      </c>
      <c r="D133" s="34" t="s">
        <v>56</v>
      </c>
      <c r="E133" s="34" t="s">
        <v>57</v>
      </c>
      <c r="F133" s="34" t="s">
        <v>58</v>
      </c>
    </row>
    <row r="134" ht="15.75" customHeight="1">
      <c r="A134" s="35" t="s">
        <v>1</v>
      </c>
      <c r="B134" s="17">
        <f>SUM('Daily Input'!C60:C69)</f>
        <v>0</v>
      </c>
      <c r="C134" s="17">
        <f>SUM('Daily Input'!D60:D69)</f>
        <v>0</v>
      </c>
      <c r="D134" s="17">
        <f>SUM('Daily Input'!E60:E69)</f>
        <v>0</v>
      </c>
      <c r="E134" s="36">
        <f t="shared" ref="E134:F134" si="113">IF(B134=0,0,C134/B134)</f>
        <v>0</v>
      </c>
      <c r="F134" s="36">
        <f t="shared" si="113"/>
        <v>0</v>
      </c>
    </row>
    <row r="135" ht="15.75" customHeight="1">
      <c r="A135" s="35" t="s">
        <v>2</v>
      </c>
      <c r="B135" s="17">
        <f>SUM('Daily Input'!F60:F69)</f>
        <v>0</v>
      </c>
      <c r="C135" s="17">
        <f>SUM('Daily Input'!G60:G69)</f>
        <v>0</v>
      </c>
      <c r="D135" s="17">
        <f>SUM('Daily Input'!H60:H69)</f>
        <v>0</v>
      </c>
      <c r="E135" s="36">
        <f t="shared" ref="E135:F135" si="114">IF(B135=0,0,C135/B135)</f>
        <v>0</v>
      </c>
      <c r="F135" s="36">
        <f t="shared" si="114"/>
        <v>0</v>
      </c>
    </row>
    <row r="136" ht="15.75" customHeight="1">
      <c r="A136" s="35" t="s">
        <v>3</v>
      </c>
      <c r="B136" s="17">
        <f>SUM('Daily Input'!I60:I69)</f>
        <v>0</v>
      </c>
      <c r="C136" s="17">
        <f>SUM('Daily Input'!J60:J69)</f>
        <v>0</v>
      </c>
      <c r="D136" s="17">
        <f>SUM('Daily Input'!K60:K69)</f>
        <v>0</v>
      </c>
      <c r="E136" s="36">
        <f t="shared" ref="E136:F136" si="115">IF(B136=0,0,C136/B136)</f>
        <v>0</v>
      </c>
      <c r="F136" s="36">
        <f t="shared" si="115"/>
        <v>0</v>
      </c>
    </row>
    <row r="137" ht="15.75" customHeight="1">
      <c r="A137" s="35" t="s">
        <v>4</v>
      </c>
      <c r="B137" s="17">
        <f>SUM('Daily Input'!L60:L69)</f>
        <v>0</v>
      </c>
      <c r="C137" s="17">
        <f>SUM('Daily Input'!M60:M69)</f>
        <v>0</v>
      </c>
      <c r="D137" s="17">
        <f>SUM('Daily Input'!N60:N69)</f>
        <v>0</v>
      </c>
      <c r="E137" s="36">
        <f t="shared" ref="E137:F137" si="116">IF(B137=0,0,C137/B137)</f>
        <v>0</v>
      </c>
      <c r="F137" s="36">
        <f t="shared" si="116"/>
        <v>0</v>
      </c>
    </row>
    <row r="138" ht="15.75" customHeight="1">
      <c r="A138" s="35" t="s">
        <v>5</v>
      </c>
      <c r="B138" s="17">
        <f>SUM('Daily Input'!O60:O69)</f>
        <v>0</v>
      </c>
      <c r="C138" s="17">
        <f>SUM('Daily Input'!P60:P69)</f>
        <v>0</v>
      </c>
      <c r="D138" s="17">
        <f>SUM('Daily Input'!Q60:Q69)</f>
        <v>0</v>
      </c>
      <c r="E138" s="36">
        <f t="shared" ref="E138:F138" si="117">IF(B138=0,0,C138/B138)</f>
        <v>0</v>
      </c>
      <c r="F138" s="36">
        <f t="shared" si="117"/>
        <v>0</v>
      </c>
    </row>
    <row r="139" ht="15.75" customHeight="1">
      <c r="A139" s="35" t="s">
        <v>6</v>
      </c>
      <c r="B139" s="17">
        <f>SUM('Daily Input'!R60:R69)</f>
        <v>0</v>
      </c>
      <c r="C139" s="17">
        <f>SUM('Daily Input'!S60:S69)</f>
        <v>0</v>
      </c>
      <c r="D139" s="17">
        <f>SUM('Daily Input'!T60:T69)</f>
        <v>0</v>
      </c>
      <c r="E139" s="36">
        <f t="shared" ref="E139:F139" si="118">IF(B139=0,0,C139/B139)</f>
        <v>0</v>
      </c>
      <c r="F139" s="36">
        <f t="shared" si="118"/>
        <v>0</v>
      </c>
    </row>
    <row r="140" ht="15.75" customHeight="1">
      <c r="A140" s="35" t="s">
        <v>7</v>
      </c>
      <c r="B140" s="17">
        <f>SUM('Daily Input'!U60:U69)</f>
        <v>0</v>
      </c>
      <c r="C140" s="17">
        <f>SUM('Daily Input'!V60:V69)</f>
        <v>0</v>
      </c>
      <c r="D140" s="17">
        <f>SUM('Daily Input'!W60:W69)</f>
        <v>0</v>
      </c>
      <c r="E140" s="36">
        <f t="shared" ref="E140:F140" si="119">IF(B140=0,0,C140/B140)</f>
        <v>0</v>
      </c>
      <c r="F140" s="36">
        <f t="shared" si="119"/>
        <v>0</v>
      </c>
    </row>
    <row r="141" ht="15.75" customHeight="1">
      <c r="A141" s="35" t="s">
        <v>8</v>
      </c>
      <c r="B141" s="17">
        <f>SUM('Daily Input'!X60:X69)</f>
        <v>0</v>
      </c>
      <c r="C141" s="17">
        <f>SUM('Daily Input'!Y60:Y69)</f>
        <v>0</v>
      </c>
      <c r="D141" s="17">
        <f>SUM('Daily Input'!Z60:Z69)</f>
        <v>0</v>
      </c>
      <c r="E141" s="36">
        <f t="shared" ref="E141:F141" si="120">IF(B141=0,0,C141/B141)</f>
        <v>0</v>
      </c>
      <c r="F141" s="36">
        <f t="shared" si="120"/>
        <v>0</v>
      </c>
    </row>
    <row r="142" ht="15.75" customHeight="1">
      <c r="A142" s="35" t="s">
        <v>9</v>
      </c>
      <c r="B142" s="17">
        <f>SUM('Daily Input'!AA60:AA69)</f>
        <v>0</v>
      </c>
      <c r="C142" s="17">
        <f>SUM('Daily Input'!AB60:AB69)</f>
        <v>0</v>
      </c>
      <c r="D142" s="17">
        <f>SUM('Daily Input'!AC60:AC69)</f>
        <v>0</v>
      </c>
      <c r="E142" s="36">
        <f t="shared" ref="E142:F142" si="121">IF(B142=0,0,C142/B142)</f>
        <v>0</v>
      </c>
      <c r="F142" s="36">
        <f t="shared" si="121"/>
        <v>0</v>
      </c>
    </row>
    <row r="143" ht="15.75" customHeight="1">
      <c r="A143" s="35" t="s">
        <v>10</v>
      </c>
      <c r="B143" s="17">
        <f>SUM('Daily Input'!AD60:AD69)</f>
        <v>0</v>
      </c>
      <c r="C143" s="17">
        <f>SUM('Daily Input'!AE60:AE69)</f>
        <v>0</v>
      </c>
      <c r="D143" s="17">
        <f>SUM('Daily Input'!AF60:AF69)</f>
        <v>0</v>
      </c>
      <c r="E143" s="36">
        <f t="shared" ref="E143:F143" si="122">IF(B143=0,0,C143/B143)</f>
        <v>0</v>
      </c>
      <c r="F143" s="36">
        <f t="shared" si="122"/>
        <v>0</v>
      </c>
    </row>
    <row r="144" ht="15.75" customHeight="1">
      <c r="A144" s="35" t="s">
        <v>11</v>
      </c>
      <c r="B144" s="17">
        <f>SUM('Daily Input'!AG60:AG69)</f>
        <v>0</v>
      </c>
      <c r="C144" s="17">
        <f>SUM('Daily Input'!AH60:AH69)</f>
        <v>0</v>
      </c>
      <c r="D144" s="17">
        <f>SUM('Daily Input'!AI60:AI69)</f>
        <v>0</v>
      </c>
      <c r="E144" s="36">
        <f t="shared" ref="E144:F144" si="123">IF(B144=0,0,C144/B144)</f>
        <v>0</v>
      </c>
      <c r="F144" s="36">
        <f t="shared" si="123"/>
        <v>0</v>
      </c>
    </row>
    <row r="145" ht="15.75" customHeight="1">
      <c r="A145" s="35" t="s">
        <v>12</v>
      </c>
      <c r="B145" s="17">
        <f>SUM('Daily Input'!AJ60:AJ69)</f>
        <v>0</v>
      </c>
      <c r="C145" s="17">
        <f>SUM('Daily Input'!AK60:AK69)</f>
        <v>0</v>
      </c>
      <c r="D145" s="17">
        <f>SUM('Daily Input'!AL60:AL69)</f>
        <v>0</v>
      </c>
      <c r="E145" s="36">
        <f t="shared" ref="E145:F145" si="124">IF(B145=0,0,C145/B145)</f>
        <v>0</v>
      </c>
      <c r="F145" s="36">
        <f t="shared" si="124"/>
        <v>0</v>
      </c>
    </row>
    <row r="146" ht="15.75" customHeight="1">
      <c r="A146" s="37" t="s">
        <v>59</v>
      </c>
      <c r="B146" s="29">
        <f t="shared" ref="B146:D146" si="125">SUM(B134:B145)</f>
        <v>0</v>
      </c>
      <c r="C146" s="29">
        <f t="shared" si="125"/>
        <v>0</v>
      </c>
      <c r="D146" s="29">
        <f t="shared" si="125"/>
        <v>0</v>
      </c>
      <c r="E146" s="30">
        <f t="shared" ref="E146:F146" si="126">IF(B146=0,0,C146/B146)</f>
        <v>0</v>
      </c>
      <c r="F146" s="30">
        <f t="shared" si="126"/>
        <v>0</v>
      </c>
    </row>
    <row r="147" ht="15.75" customHeight="1"/>
    <row r="148" ht="15.75" customHeight="1">
      <c r="A148" s="33" t="s">
        <v>68</v>
      </c>
      <c r="B148" s="4"/>
      <c r="C148" s="4"/>
      <c r="D148" s="4"/>
      <c r="E148" s="4"/>
      <c r="F148" s="4"/>
      <c r="G148" s="4"/>
      <c r="H148" s="5"/>
    </row>
    <row r="149" ht="15.75" customHeight="1">
      <c r="A149" s="34" t="s">
        <v>55</v>
      </c>
      <c r="B149" s="34" t="s">
        <v>16</v>
      </c>
      <c r="C149" s="34" t="s">
        <v>17</v>
      </c>
      <c r="D149" s="34" t="s">
        <v>56</v>
      </c>
      <c r="E149" s="34" t="s">
        <v>57</v>
      </c>
      <c r="F149" s="34" t="s">
        <v>58</v>
      </c>
    </row>
    <row r="150" ht="15.75" customHeight="1">
      <c r="A150" s="35" t="s">
        <v>1</v>
      </c>
      <c r="B150" s="17">
        <f>SUM('Daily Input'!C70:C76)</f>
        <v>0</v>
      </c>
      <c r="C150" s="17">
        <f>SUM('Daily Input'!D70:D76)</f>
        <v>0</v>
      </c>
      <c r="D150" s="17">
        <f>SUM('Daily Input'!E70:E76)</f>
        <v>0</v>
      </c>
      <c r="E150" s="36">
        <f t="shared" ref="E150:F150" si="127">IF(B150=0,0,C150/B150)</f>
        <v>0</v>
      </c>
      <c r="F150" s="36">
        <f t="shared" si="127"/>
        <v>0</v>
      </c>
    </row>
    <row r="151" ht="15.75" customHeight="1">
      <c r="A151" s="35" t="s">
        <v>2</v>
      </c>
      <c r="B151" s="17">
        <f>SUM('Daily Input'!F70:F76)</f>
        <v>0</v>
      </c>
      <c r="C151" s="17">
        <f>SUM('Daily Input'!G70:G76)</f>
        <v>0</v>
      </c>
      <c r="D151" s="17">
        <f>SUM('Daily Input'!H70:H76)</f>
        <v>0</v>
      </c>
      <c r="E151" s="36">
        <f t="shared" ref="E151:F151" si="128">IF(B151=0,0,C151/B151)</f>
        <v>0</v>
      </c>
      <c r="F151" s="36">
        <f t="shared" si="128"/>
        <v>0</v>
      </c>
    </row>
    <row r="152" ht="15.75" customHeight="1">
      <c r="A152" s="35" t="s">
        <v>3</v>
      </c>
      <c r="B152" s="17">
        <f>SUM('Daily Input'!I70:I76)</f>
        <v>0</v>
      </c>
      <c r="C152" s="17">
        <f>SUM('Daily Input'!J70:J76)</f>
        <v>0</v>
      </c>
      <c r="D152" s="17">
        <f>SUM('Daily Input'!K70:K76)</f>
        <v>0</v>
      </c>
      <c r="E152" s="36">
        <f t="shared" ref="E152:F152" si="129">IF(B152=0,0,C152/B152)</f>
        <v>0</v>
      </c>
      <c r="F152" s="36">
        <f t="shared" si="129"/>
        <v>0</v>
      </c>
    </row>
    <row r="153" ht="15.75" customHeight="1">
      <c r="A153" s="35" t="s">
        <v>4</v>
      </c>
      <c r="B153" s="17">
        <f>SUM('Daily Input'!L70:L76)</f>
        <v>0</v>
      </c>
      <c r="C153" s="17">
        <f>SUM('Daily Input'!M70:M76)</f>
        <v>0</v>
      </c>
      <c r="D153" s="17">
        <f>SUM('Daily Input'!N70:N76)</f>
        <v>0</v>
      </c>
      <c r="E153" s="36">
        <f t="shared" ref="E153:F153" si="130">IF(B153=0,0,C153/B153)</f>
        <v>0</v>
      </c>
      <c r="F153" s="36">
        <f t="shared" si="130"/>
        <v>0</v>
      </c>
    </row>
    <row r="154" ht="15.75" customHeight="1">
      <c r="A154" s="35" t="s">
        <v>5</v>
      </c>
      <c r="B154" s="17">
        <f>SUM('Daily Input'!O70:O76)</f>
        <v>0</v>
      </c>
      <c r="C154" s="17">
        <f>SUM('Daily Input'!P70:P76)</f>
        <v>0</v>
      </c>
      <c r="D154" s="17">
        <f>SUM('Daily Input'!Q70:Q76)</f>
        <v>0</v>
      </c>
      <c r="E154" s="36">
        <f t="shared" ref="E154:F154" si="131">IF(B154=0,0,C154/B154)</f>
        <v>0</v>
      </c>
      <c r="F154" s="36">
        <f t="shared" si="131"/>
        <v>0</v>
      </c>
    </row>
    <row r="155" ht="15.75" customHeight="1">
      <c r="A155" s="35" t="s">
        <v>6</v>
      </c>
      <c r="B155" s="17">
        <f>SUM('Daily Input'!R70:R76)</f>
        <v>0</v>
      </c>
      <c r="C155" s="17">
        <f>SUM('Daily Input'!S70:S76)</f>
        <v>0</v>
      </c>
      <c r="D155" s="17">
        <f>SUM('Daily Input'!T70:T76)</f>
        <v>0</v>
      </c>
      <c r="E155" s="36">
        <f t="shared" ref="E155:F155" si="132">IF(B155=0,0,C155/B155)</f>
        <v>0</v>
      </c>
      <c r="F155" s="36">
        <f t="shared" si="132"/>
        <v>0</v>
      </c>
    </row>
    <row r="156" ht="15.75" customHeight="1">
      <c r="A156" s="35" t="s">
        <v>7</v>
      </c>
      <c r="B156" s="17">
        <f>SUM('Daily Input'!U70:U76)</f>
        <v>0</v>
      </c>
      <c r="C156" s="17">
        <f>SUM('Daily Input'!V70:V76)</f>
        <v>0</v>
      </c>
      <c r="D156" s="17">
        <f>SUM('Daily Input'!W70:W76)</f>
        <v>0</v>
      </c>
      <c r="E156" s="36">
        <f t="shared" ref="E156:F156" si="133">IF(B156=0,0,C156/B156)</f>
        <v>0</v>
      </c>
      <c r="F156" s="36">
        <f t="shared" si="133"/>
        <v>0</v>
      </c>
    </row>
    <row r="157" ht="15.75" customHeight="1">
      <c r="A157" s="35" t="s">
        <v>8</v>
      </c>
      <c r="B157" s="17">
        <f>SUM('Daily Input'!X70:X76)</f>
        <v>0</v>
      </c>
      <c r="C157" s="17">
        <f>SUM('Daily Input'!Y70:Y76)</f>
        <v>0</v>
      </c>
      <c r="D157" s="17">
        <f>SUM('Daily Input'!Z70:Z76)</f>
        <v>0</v>
      </c>
      <c r="E157" s="36">
        <f t="shared" ref="E157:F157" si="134">IF(B157=0,0,C157/B157)</f>
        <v>0</v>
      </c>
      <c r="F157" s="36">
        <f t="shared" si="134"/>
        <v>0</v>
      </c>
    </row>
    <row r="158" ht="15.75" customHeight="1">
      <c r="A158" s="35" t="s">
        <v>9</v>
      </c>
      <c r="B158" s="17">
        <f>SUM('Daily Input'!AA70:AA76)</f>
        <v>0</v>
      </c>
      <c r="C158" s="17">
        <f>SUM('Daily Input'!AB70:AB76)</f>
        <v>0</v>
      </c>
      <c r="D158" s="17">
        <f>SUM('Daily Input'!AC70:AC76)</f>
        <v>0</v>
      </c>
      <c r="E158" s="36">
        <f t="shared" ref="E158:F158" si="135">IF(B158=0,0,C158/B158)</f>
        <v>0</v>
      </c>
      <c r="F158" s="36">
        <f t="shared" si="135"/>
        <v>0</v>
      </c>
    </row>
    <row r="159" ht="15.75" customHeight="1">
      <c r="A159" s="35" t="s">
        <v>10</v>
      </c>
      <c r="B159" s="17">
        <f>SUM('Daily Input'!AD70:AD76)</f>
        <v>0</v>
      </c>
      <c r="C159" s="17">
        <f>SUM('Daily Input'!AE70:AE76)</f>
        <v>0</v>
      </c>
      <c r="D159" s="17">
        <f>SUM('Daily Input'!AF70:AF76)</f>
        <v>0</v>
      </c>
      <c r="E159" s="36">
        <f t="shared" ref="E159:F159" si="136">IF(B159=0,0,C159/B159)</f>
        <v>0</v>
      </c>
      <c r="F159" s="36">
        <f t="shared" si="136"/>
        <v>0</v>
      </c>
    </row>
    <row r="160" ht="15.75" customHeight="1">
      <c r="A160" s="35" t="s">
        <v>11</v>
      </c>
      <c r="B160" s="17">
        <f>SUM('Daily Input'!AG70:AG76)</f>
        <v>0</v>
      </c>
      <c r="C160" s="17">
        <f>SUM('Daily Input'!AH70:AH76)</f>
        <v>0</v>
      </c>
      <c r="D160" s="17">
        <f>SUM('Daily Input'!AI70:AI76)</f>
        <v>0</v>
      </c>
      <c r="E160" s="36">
        <f t="shared" ref="E160:F160" si="137">IF(B160=0,0,C160/B160)</f>
        <v>0</v>
      </c>
      <c r="F160" s="36">
        <f t="shared" si="137"/>
        <v>0</v>
      </c>
    </row>
    <row r="161" ht="15.75" customHeight="1">
      <c r="A161" s="35" t="s">
        <v>12</v>
      </c>
      <c r="B161" s="17">
        <f>SUM('Daily Input'!AJ70:AJ76)</f>
        <v>0</v>
      </c>
      <c r="C161" s="17">
        <f>SUM('Daily Input'!AK70:AK76)</f>
        <v>0</v>
      </c>
      <c r="D161" s="17">
        <f>SUM('Daily Input'!AL70:AL76)</f>
        <v>0</v>
      </c>
      <c r="E161" s="36">
        <f t="shared" ref="E161:F161" si="138">IF(B161=0,0,C161/B161)</f>
        <v>0</v>
      </c>
      <c r="F161" s="36">
        <f t="shared" si="138"/>
        <v>0</v>
      </c>
    </row>
    <row r="162" ht="15.75" customHeight="1">
      <c r="A162" s="37" t="s">
        <v>59</v>
      </c>
      <c r="B162" s="29">
        <f t="shared" ref="B162:D162" si="139">SUM(B150:B161)</f>
        <v>0</v>
      </c>
      <c r="C162" s="29">
        <f t="shared" si="139"/>
        <v>0</v>
      </c>
      <c r="D162" s="29">
        <f t="shared" si="139"/>
        <v>0</v>
      </c>
      <c r="E162" s="30">
        <f t="shared" ref="E162:F162" si="140">IF(B162=0,0,C162/B162)</f>
        <v>0</v>
      </c>
      <c r="F162" s="30">
        <f t="shared" si="140"/>
        <v>0</v>
      </c>
    </row>
    <row r="163" ht="15.75" customHeight="1"/>
    <row r="164" ht="15.75" customHeight="1">
      <c r="A164" s="33" t="s">
        <v>69</v>
      </c>
      <c r="B164" s="4"/>
      <c r="C164" s="4"/>
      <c r="D164" s="4"/>
      <c r="E164" s="4"/>
      <c r="F164" s="4"/>
      <c r="G164" s="4"/>
      <c r="H164" s="5"/>
    </row>
    <row r="165" ht="15.75" customHeight="1">
      <c r="A165" s="34" t="s">
        <v>55</v>
      </c>
      <c r="B165" s="34" t="s">
        <v>16</v>
      </c>
      <c r="C165" s="34" t="s">
        <v>17</v>
      </c>
      <c r="D165" s="34" t="s">
        <v>56</v>
      </c>
      <c r="E165" s="34" t="s">
        <v>57</v>
      </c>
      <c r="F165" s="34" t="s">
        <v>58</v>
      </c>
    </row>
    <row r="166" ht="15.75" customHeight="1">
      <c r="A166" s="35" t="s">
        <v>1</v>
      </c>
      <c r="B166" s="17">
        <f>SUM('Daily Input'!C77:C83)</f>
        <v>0</v>
      </c>
      <c r="C166" s="17">
        <f>SUM('Daily Input'!D77:D83)</f>
        <v>0</v>
      </c>
      <c r="D166" s="17">
        <f>SUM('Daily Input'!E77:E83)</f>
        <v>0</v>
      </c>
      <c r="E166" s="36">
        <f t="shared" ref="E166:F166" si="141">IF(B166=0,0,C166/B166)</f>
        <v>0</v>
      </c>
      <c r="F166" s="36">
        <f t="shared" si="141"/>
        <v>0</v>
      </c>
    </row>
    <row r="167" ht="15.75" customHeight="1">
      <c r="A167" s="35" t="s">
        <v>2</v>
      </c>
      <c r="B167" s="17">
        <f>SUM('Daily Input'!F77:F83)</f>
        <v>0</v>
      </c>
      <c r="C167" s="17">
        <f>SUM('Daily Input'!G77:G83)</f>
        <v>0</v>
      </c>
      <c r="D167" s="17">
        <f>SUM('Daily Input'!H77:H83)</f>
        <v>0</v>
      </c>
      <c r="E167" s="36">
        <f t="shared" ref="E167:F167" si="142">IF(B167=0,0,C167/B167)</f>
        <v>0</v>
      </c>
      <c r="F167" s="36">
        <f t="shared" si="142"/>
        <v>0</v>
      </c>
    </row>
    <row r="168" ht="15.75" customHeight="1">
      <c r="A168" s="35" t="s">
        <v>3</v>
      </c>
      <c r="B168" s="17">
        <f>SUM('Daily Input'!I77:I83)</f>
        <v>0</v>
      </c>
      <c r="C168" s="17">
        <f>SUM('Daily Input'!J77:J83)</f>
        <v>0</v>
      </c>
      <c r="D168" s="17">
        <f>SUM('Daily Input'!K77:K83)</f>
        <v>0</v>
      </c>
      <c r="E168" s="36">
        <f t="shared" ref="E168:F168" si="143">IF(B168=0,0,C168/B168)</f>
        <v>0</v>
      </c>
      <c r="F168" s="36">
        <f t="shared" si="143"/>
        <v>0</v>
      </c>
    </row>
    <row r="169" ht="15.75" customHeight="1">
      <c r="A169" s="35" t="s">
        <v>4</v>
      </c>
      <c r="B169" s="17">
        <f>SUM('Daily Input'!L77:L83)</f>
        <v>0</v>
      </c>
      <c r="C169" s="17">
        <f>SUM('Daily Input'!M77:M83)</f>
        <v>0</v>
      </c>
      <c r="D169" s="17">
        <f>SUM('Daily Input'!N77:N83)</f>
        <v>0</v>
      </c>
      <c r="E169" s="36">
        <f t="shared" ref="E169:F169" si="144">IF(B169=0,0,C169/B169)</f>
        <v>0</v>
      </c>
      <c r="F169" s="36">
        <f t="shared" si="144"/>
        <v>0</v>
      </c>
    </row>
    <row r="170" ht="15.75" customHeight="1">
      <c r="A170" s="35" t="s">
        <v>5</v>
      </c>
      <c r="B170" s="17">
        <f>SUM('Daily Input'!O77:O83)</f>
        <v>0</v>
      </c>
      <c r="C170" s="17">
        <f>SUM('Daily Input'!P77:P83)</f>
        <v>0</v>
      </c>
      <c r="D170" s="17">
        <f>SUM('Daily Input'!Q77:Q83)</f>
        <v>0</v>
      </c>
      <c r="E170" s="36">
        <f t="shared" ref="E170:F170" si="145">IF(B170=0,0,C170/B170)</f>
        <v>0</v>
      </c>
      <c r="F170" s="36">
        <f t="shared" si="145"/>
        <v>0</v>
      </c>
    </row>
    <row r="171" ht="15.75" customHeight="1">
      <c r="A171" s="35" t="s">
        <v>6</v>
      </c>
      <c r="B171" s="17">
        <f>SUM('Daily Input'!R77:R83)</f>
        <v>0</v>
      </c>
      <c r="C171" s="17">
        <f>SUM('Daily Input'!S77:S83)</f>
        <v>0</v>
      </c>
      <c r="D171" s="17">
        <f>SUM('Daily Input'!T77:T83)</f>
        <v>0</v>
      </c>
      <c r="E171" s="36">
        <f t="shared" ref="E171:F171" si="146">IF(B171=0,0,C171/B171)</f>
        <v>0</v>
      </c>
      <c r="F171" s="36">
        <f t="shared" si="146"/>
        <v>0</v>
      </c>
    </row>
    <row r="172" ht="15.75" customHeight="1">
      <c r="A172" s="35" t="s">
        <v>7</v>
      </c>
      <c r="B172" s="17">
        <f>SUM('Daily Input'!U77:U83)</f>
        <v>0</v>
      </c>
      <c r="C172" s="17">
        <f>SUM('Daily Input'!V77:V83)</f>
        <v>0</v>
      </c>
      <c r="D172" s="17">
        <f>SUM('Daily Input'!W77:W83)</f>
        <v>0</v>
      </c>
      <c r="E172" s="36">
        <f t="shared" ref="E172:F172" si="147">IF(B172=0,0,C172/B172)</f>
        <v>0</v>
      </c>
      <c r="F172" s="36">
        <f t="shared" si="147"/>
        <v>0</v>
      </c>
    </row>
    <row r="173" ht="15.75" customHeight="1">
      <c r="A173" s="35" t="s">
        <v>8</v>
      </c>
      <c r="B173" s="17">
        <f>SUM('Daily Input'!X77:X83)</f>
        <v>0</v>
      </c>
      <c r="C173" s="17">
        <f>SUM('Daily Input'!Y77:Y83)</f>
        <v>0</v>
      </c>
      <c r="D173" s="17">
        <f>SUM('Daily Input'!Z77:Z83)</f>
        <v>0</v>
      </c>
      <c r="E173" s="36">
        <f t="shared" ref="E173:F173" si="148">IF(B173=0,0,C173/B173)</f>
        <v>0</v>
      </c>
      <c r="F173" s="36">
        <f t="shared" si="148"/>
        <v>0</v>
      </c>
    </row>
    <row r="174" ht="15.75" customHeight="1">
      <c r="A174" s="35" t="s">
        <v>9</v>
      </c>
      <c r="B174" s="17">
        <f>SUM('Daily Input'!AA77:AA83)</f>
        <v>0</v>
      </c>
      <c r="C174" s="17">
        <f>SUM('Daily Input'!AB77:AB83)</f>
        <v>0</v>
      </c>
      <c r="D174" s="17">
        <f>SUM('Daily Input'!AC77:AC83)</f>
        <v>0</v>
      </c>
      <c r="E174" s="36">
        <f t="shared" ref="E174:F174" si="149">IF(B174=0,0,C174/B174)</f>
        <v>0</v>
      </c>
      <c r="F174" s="36">
        <f t="shared" si="149"/>
        <v>0</v>
      </c>
    </row>
    <row r="175" ht="15.75" customHeight="1">
      <c r="A175" s="35" t="s">
        <v>10</v>
      </c>
      <c r="B175" s="17">
        <f>SUM('Daily Input'!AD77:AD83)</f>
        <v>0</v>
      </c>
      <c r="C175" s="17">
        <f>SUM('Daily Input'!AE77:AE83)</f>
        <v>0</v>
      </c>
      <c r="D175" s="17">
        <f>SUM('Daily Input'!AF77:AF83)</f>
        <v>0</v>
      </c>
      <c r="E175" s="36">
        <f t="shared" ref="E175:F175" si="150">IF(B175=0,0,C175/B175)</f>
        <v>0</v>
      </c>
      <c r="F175" s="36">
        <f t="shared" si="150"/>
        <v>0</v>
      </c>
    </row>
    <row r="176" ht="15.75" customHeight="1">
      <c r="A176" s="35" t="s">
        <v>11</v>
      </c>
      <c r="B176" s="17">
        <f>SUM('Daily Input'!AG77:AG83)</f>
        <v>0</v>
      </c>
      <c r="C176" s="17">
        <f>SUM('Daily Input'!AH77:AH83)</f>
        <v>0</v>
      </c>
      <c r="D176" s="17">
        <f>SUM('Daily Input'!AI77:AI83)</f>
        <v>0</v>
      </c>
      <c r="E176" s="36">
        <f t="shared" ref="E176:F176" si="151">IF(B176=0,0,C176/B176)</f>
        <v>0</v>
      </c>
      <c r="F176" s="36">
        <f t="shared" si="151"/>
        <v>0</v>
      </c>
    </row>
    <row r="177" ht="15.75" customHeight="1">
      <c r="A177" s="35" t="s">
        <v>12</v>
      </c>
      <c r="B177" s="17">
        <f>SUM('Daily Input'!AJ77:AJ83)</f>
        <v>0</v>
      </c>
      <c r="C177" s="17">
        <f>SUM('Daily Input'!AK77:AK83)</f>
        <v>0</v>
      </c>
      <c r="D177" s="17">
        <f>SUM('Daily Input'!AL77:AL83)</f>
        <v>0</v>
      </c>
      <c r="E177" s="36">
        <f t="shared" ref="E177:F177" si="152">IF(B177=0,0,C177/B177)</f>
        <v>0</v>
      </c>
      <c r="F177" s="36">
        <f t="shared" si="152"/>
        <v>0</v>
      </c>
    </row>
    <row r="178" ht="15.75" customHeight="1">
      <c r="A178" s="37" t="s">
        <v>59</v>
      </c>
      <c r="B178" s="29">
        <f t="shared" ref="B178:D178" si="153">SUM(B166:B177)</f>
        <v>0</v>
      </c>
      <c r="C178" s="29">
        <f t="shared" si="153"/>
        <v>0</v>
      </c>
      <c r="D178" s="29">
        <f t="shared" si="153"/>
        <v>0</v>
      </c>
      <c r="E178" s="30">
        <f t="shared" ref="E178:F178" si="154">IF(B178=0,0,C178/B178)</f>
        <v>0</v>
      </c>
      <c r="F178" s="30">
        <f t="shared" si="154"/>
        <v>0</v>
      </c>
    </row>
    <row r="179" ht="15.75" customHeight="1"/>
    <row r="180" ht="15.75" customHeight="1">
      <c r="A180" s="33" t="s">
        <v>70</v>
      </c>
      <c r="B180" s="4"/>
      <c r="C180" s="4"/>
      <c r="D180" s="4"/>
      <c r="E180" s="4"/>
      <c r="F180" s="4"/>
      <c r="G180" s="4"/>
      <c r="H180" s="5"/>
    </row>
    <row r="181" ht="15.75" customHeight="1">
      <c r="A181" s="34" t="s">
        <v>55</v>
      </c>
      <c r="B181" s="34" t="s">
        <v>16</v>
      </c>
      <c r="C181" s="34" t="s">
        <v>17</v>
      </c>
      <c r="D181" s="34" t="s">
        <v>56</v>
      </c>
      <c r="E181" s="34" t="s">
        <v>57</v>
      </c>
      <c r="F181" s="34" t="s">
        <v>58</v>
      </c>
    </row>
    <row r="182" ht="15.75" customHeight="1">
      <c r="A182" s="35" t="s">
        <v>1</v>
      </c>
      <c r="B182" s="17">
        <f>SUM('Daily Input'!C84:C90)</f>
        <v>0</v>
      </c>
      <c r="C182" s="17">
        <f>SUM('Daily Input'!D84:D90)</f>
        <v>0</v>
      </c>
      <c r="D182" s="17">
        <f>SUM('Daily Input'!E84:E90)</f>
        <v>0</v>
      </c>
      <c r="E182" s="36">
        <f t="shared" ref="E182:F182" si="155">IF(B182=0,0,C182/B182)</f>
        <v>0</v>
      </c>
      <c r="F182" s="36">
        <f t="shared" si="155"/>
        <v>0</v>
      </c>
    </row>
    <row r="183" ht="15.75" customHeight="1">
      <c r="A183" s="35" t="s">
        <v>2</v>
      </c>
      <c r="B183" s="17">
        <f>SUM('Daily Input'!F84:F90)</f>
        <v>0</v>
      </c>
      <c r="C183" s="17">
        <f>SUM('Daily Input'!G84:G90)</f>
        <v>0</v>
      </c>
      <c r="D183" s="17">
        <f>SUM('Daily Input'!H84:H90)</f>
        <v>0</v>
      </c>
      <c r="E183" s="36">
        <f t="shared" ref="E183:F183" si="156">IF(B183=0,0,C183/B183)</f>
        <v>0</v>
      </c>
      <c r="F183" s="36">
        <f t="shared" si="156"/>
        <v>0</v>
      </c>
    </row>
    <row r="184" ht="15.75" customHeight="1">
      <c r="A184" s="35" t="s">
        <v>3</v>
      </c>
      <c r="B184" s="17">
        <f>SUM('Daily Input'!I84:I90)</f>
        <v>0</v>
      </c>
      <c r="C184" s="17">
        <f>SUM('Daily Input'!J84:J90)</f>
        <v>0</v>
      </c>
      <c r="D184" s="17">
        <f>SUM('Daily Input'!K84:K90)</f>
        <v>0</v>
      </c>
      <c r="E184" s="36">
        <f t="shared" ref="E184:F184" si="157">IF(B184=0,0,C184/B184)</f>
        <v>0</v>
      </c>
      <c r="F184" s="36">
        <f t="shared" si="157"/>
        <v>0</v>
      </c>
    </row>
    <row r="185" ht="15.75" customHeight="1">
      <c r="A185" s="35" t="s">
        <v>4</v>
      </c>
      <c r="B185" s="17">
        <f>SUM('Daily Input'!L84:L90)</f>
        <v>0</v>
      </c>
      <c r="C185" s="17">
        <f>SUM('Daily Input'!M84:M90)</f>
        <v>0</v>
      </c>
      <c r="D185" s="17">
        <f>SUM('Daily Input'!N84:N90)</f>
        <v>0</v>
      </c>
      <c r="E185" s="36">
        <f t="shared" ref="E185:F185" si="158">IF(B185=0,0,C185/B185)</f>
        <v>0</v>
      </c>
      <c r="F185" s="36">
        <f t="shared" si="158"/>
        <v>0</v>
      </c>
    </row>
    <row r="186" ht="15.75" customHeight="1">
      <c r="A186" s="35" t="s">
        <v>5</v>
      </c>
      <c r="B186" s="17">
        <f>SUM('Daily Input'!O84:O90)</f>
        <v>0</v>
      </c>
      <c r="C186" s="17">
        <f>SUM('Daily Input'!P84:P90)</f>
        <v>0</v>
      </c>
      <c r="D186" s="17">
        <f>SUM('Daily Input'!Q84:Q90)</f>
        <v>0</v>
      </c>
      <c r="E186" s="36">
        <f t="shared" ref="E186:F186" si="159">IF(B186=0,0,C186/B186)</f>
        <v>0</v>
      </c>
      <c r="F186" s="36">
        <f t="shared" si="159"/>
        <v>0</v>
      </c>
    </row>
    <row r="187" ht="15.75" customHeight="1">
      <c r="A187" s="35" t="s">
        <v>6</v>
      </c>
      <c r="B187" s="17">
        <f>SUM('Daily Input'!R84:R90)</f>
        <v>0</v>
      </c>
      <c r="C187" s="17">
        <f>SUM('Daily Input'!S84:S90)</f>
        <v>0</v>
      </c>
      <c r="D187" s="17">
        <f>SUM('Daily Input'!T84:T90)</f>
        <v>0</v>
      </c>
      <c r="E187" s="36">
        <f t="shared" ref="E187:F187" si="160">IF(B187=0,0,C187/B187)</f>
        <v>0</v>
      </c>
      <c r="F187" s="36">
        <f t="shared" si="160"/>
        <v>0</v>
      </c>
    </row>
    <row r="188" ht="15.75" customHeight="1">
      <c r="A188" s="35" t="s">
        <v>7</v>
      </c>
      <c r="B188" s="17">
        <f>SUM('Daily Input'!U84:U90)</f>
        <v>0</v>
      </c>
      <c r="C188" s="17">
        <f>SUM('Daily Input'!V84:V90)</f>
        <v>0</v>
      </c>
      <c r="D188" s="17">
        <f>SUM('Daily Input'!W84:W90)</f>
        <v>0</v>
      </c>
      <c r="E188" s="36">
        <f t="shared" ref="E188:F188" si="161">IF(B188=0,0,C188/B188)</f>
        <v>0</v>
      </c>
      <c r="F188" s="36">
        <f t="shared" si="161"/>
        <v>0</v>
      </c>
    </row>
    <row r="189" ht="15.75" customHeight="1">
      <c r="A189" s="35" t="s">
        <v>8</v>
      </c>
      <c r="B189" s="17">
        <f>SUM('Daily Input'!X84:X90)</f>
        <v>0</v>
      </c>
      <c r="C189" s="17">
        <f>SUM('Daily Input'!Y84:Y90)</f>
        <v>0</v>
      </c>
      <c r="D189" s="17">
        <f>SUM('Daily Input'!Z84:Z90)</f>
        <v>0</v>
      </c>
      <c r="E189" s="36">
        <f t="shared" ref="E189:F189" si="162">IF(B189=0,0,C189/B189)</f>
        <v>0</v>
      </c>
      <c r="F189" s="36">
        <f t="shared" si="162"/>
        <v>0</v>
      </c>
    </row>
    <row r="190" ht="15.75" customHeight="1">
      <c r="A190" s="35" t="s">
        <v>9</v>
      </c>
      <c r="B190" s="17">
        <f>SUM('Daily Input'!AA84:AA90)</f>
        <v>0</v>
      </c>
      <c r="C190" s="17">
        <f>SUM('Daily Input'!AB84:AB90)</f>
        <v>0</v>
      </c>
      <c r="D190" s="17">
        <f>SUM('Daily Input'!AC84:AC90)</f>
        <v>0</v>
      </c>
      <c r="E190" s="36">
        <f t="shared" ref="E190:F190" si="163">IF(B190=0,0,C190/B190)</f>
        <v>0</v>
      </c>
      <c r="F190" s="36">
        <f t="shared" si="163"/>
        <v>0</v>
      </c>
    </row>
    <row r="191" ht="15.75" customHeight="1">
      <c r="A191" s="35" t="s">
        <v>10</v>
      </c>
      <c r="B191" s="17">
        <f>SUM('Daily Input'!AD84:AD90)</f>
        <v>0</v>
      </c>
      <c r="C191" s="17">
        <f>SUM('Daily Input'!AE84:AE90)</f>
        <v>0</v>
      </c>
      <c r="D191" s="17">
        <f>SUM('Daily Input'!AF84:AF90)</f>
        <v>0</v>
      </c>
      <c r="E191" s="36">
        <f t="shared" ref="E191:F191" si="164">IF(B191=0,0,C191/B191)</f>
        <v>0</v>
      </c>
      <c r="F191" s="36">
        <f t="shared" si="164"/>
        <v>0</v>
      </c>
    </row>
    <row r="192" ht="15.75" customHeight="1">
      <c r="A192" s="35" t="s">
        <v>11</v>
      </c>
      <c r="B192" s="17">
        <f>SUM('Daily Input'!AG84:AG90)</f>
        <v>0</v>
      </c>
      <c r="C192" s="17">
        <f>SUM('Daily Input'!AH84:AH90)</f>
        <v>0</v>
      </c>
      <c r="D192" s="17">
        <f>SUM('Daily Input'!AI84:AI90)</f>
        <v>0</v>
      </c>
      <c r="E192" s="36">
        <f t="shared" ref="E192:F192" si="165">IF(B192=0,0,C192/B192)</f>
        <v>0</v>
      </c>
      <c r="F192" s="36">
        <f t="shared" si="165"/>
        <v>0</v>
      </c>
    </row>
    <row r="193" ht="15.75" customHeight="1">
      <c r="A193" s="35" t="s">
        <v>12</v>
      </c>
      <c r="B193" s="17">
        <f>SUM('Daily Input'!AJ84:AJ90)</f>
        <v>0</v>
      </c>
      <c r="C193" s="17">
        <f>SUM('Daily Input'!AK84:AK90)</f>
        <v>0</v>
      </c>
      <c r="D193" s="17">
        <f>SUM('Daily Input'!AL84:AL90)</f>
        <v>0</v>
      </c>
      <c r="E193" s="36">
        <f t="shared" ref="E193:F193" si="166">IF(B193=0,0,C193/B193)</f>
        <v>0</v>
      </c>
      <c r="F193" s="36">
        <f t="shared" si="166"/>
        <v>0</v>
      </c>
    </row>
    <row r="194" ht="15.75" customHeight="1">
      <c r="A194" s="37" t="s">
        <v>59</v>
      </c>
      <c r="B194" s="29">
        <f t="shared" ref="B194:D194" si="167">SUM(B182:B193)</f>
        <v>0</v>
      </c>
      <c r="C194" s="29">
        <f t="shared" si="167"/>
        <v>0</v>
      </c>
      <c r="D194" s="29">
        <f t="shared" si="167"/>
        <v>0</v>
      </c>
      <c r="E194" s="30">
        <f t="shared" ref="E194:F194" si="168">IF(B194=0,0,C194/B194)</f>
        <v>0</v>
      </c>
      <c r="F194" s="30">
        <f t="shared" si="168"/>
        <v>0</v>
      </c>
    </row>
    <row r="195" ht="15.75" customHeight="1"/>
    <row r="196" ht="15.75" customHeight="1">
      <c r="A196" s="33" t="s">
        <v>71</v>
      </c>
      <c r="B196" s="4"/>
      <c r="C196" s="4"/>
      <c r="D196" s="4"/>
      <c r="E196" s="4"/>
      <c r="F196" s="4"/>
      <c r="G196" s="4"/>
      <c r="H196" s="5"/>
    </row>
    <row r="197" ht="15.75" customHeight="1">
      <c r="A197" s="34" t="s">
        <v>55</v>
      </c>
      <c r="B197" s="34" t="s">
        <v>16</v>
      </c>
      <c r="C197" s="34" t="s">
        <v>17</v>
      </c>
      <c r="D197" s="34" t="s">
        <v>56</v>
      </c>
      <c r="E197" s="34" t="s">
        <v>57</v>
      </c>
      <c r="F197" s="34" t="s">
        <v>58</v>
      </c>
    </row>
    <row r="198" ht="15.75" customHeight="1">
      <c r="A198" s="35" t="s">
        <v>1</v>
      </c>
      <c r="B198" s="17">
        <f>SUM('Daily Input'!C91:C97)</f>
        <v>0</v>
      </c>
      <c r="C198" s="17">
        <f>SUM('Daily Input'!D91:D97)</f>
        <v>0</v>
      </c>
      <c r="D198" s="17">
        <f>SUM('Daily Input'!E91:E97)</f>
        <v>0</v>
      </c>
      <c r="E198" s="36">
        <f t="shared" ref="E198:F198" si="169">IF(B198=0,0,C198/B198)</f>
        <v>0</v>
      </c>
      <c r="F198" s="36">
        <f t="shared" si="169"/>
        <v>0</v>
      </c>
    </row>
    <row r="199" ht="15.75" customHeight="1">
      <c r="A199" s="35" t="s">
        <v>2</v>
      </c>
      <c r="B199" s="17">
        <f>SUM('Daily Input'!F91:F97)</f>
        <v>0</v>
      </c>
      <c r="C199" s="17">
        <f>SUM('Daily Input'!G91:G97)</f>
        <v>0</v>
      </c>
      <c r="D199" s="17">
        <f>SUM('Daily Input'!H91:H97)</f>
        <v>0</v>
      </c>
      <c r="E199" s="36">
        <f t="shared" ref="E199:F199" si="170">IF(B199=0,0,C199/B199)</f>
        <v>0</v>
      </c>
      <c r="F199" s="36">
        <f t="shared" si="170"/>
        <v>0</v>
      </c>
    </row>
    <row r="200" ht="15.75" customHeight="1">
      <c r="A200" s="35" t="s">
        <v>3</v>
      </c>
      <c r="B200" s="17">
        <f>SUM('Daily Input'!I91:I97)</f>
        <v>0</v>
      </c>
      <c r="C200" s="17">
        <f>SUM('Daily Input'!J91:J97)</f>
        <v>0</v>
      </c>
      <c r="D200" s="17">
        <f>SUM('Daily Input'!K91:K97)</f>
        <v>0</v>
      </c>
      <c r="E200" s="36">
        <f t="shared" ref="E200:F200" si="171">IF(B200=0,0,C200/B200)</f>
        <v>0</v>
      </c>
      <c r="F200" s="36">
        <f t="shared" si="171"/>
        <v>0</v>
      </c>
    </row>
    <row r="201" ht="15.75" customHeight="1">
      <c r="A201" s="35" t="s">
        <v>4</v>
      </c>
      <c r="B201" s="17">
        <f>SUM('Daily Input'!L91:L97)</f>
        <v>0</v>
      </c>
      <c r="C201" s="17">
        <f>SUM('Daily Input'!M91:M97)</f>
        <v>0</v>
      </c>
      <c r="D201" s="17">
        <f>SUM('Daily Input'!N91:N97)</f>
        <v>0</v>
      </c>
      <c r="E201" s="36">
        <f t="shared" ref="E201:F201" si="172">IF(B201=0,0,C201/B201)</f>
        <v>0</v>
      </c>
      <c r="F201" s="36">
        <f t="shared" si="172"/>
        <v>0</v>
      </c>
    </row>
    <row r="202" ht="15.75" customHeight="1">
      <c r="A202" s="35" t="s">
        <v>5</v>
      </c>
      <c r="B202" s="17">
        <f>SUM('Daily Input'!O91:O97)</f>
        <v>0</v>
      </c>
      <c r="C202" s="17">
        <f>SUM('Daily Input'!P91:P97)</f>
        <v>0</v>
      </c>
      <c r="D202" s="17">
        <f>SUM('Daily Input'!Q91:Q97)</f>
        <v>0</v>
      </c>
      <c r="E202" s="36">
        <f t="shared" ref="E202:F202" si="173">IF(B202=0,0,C202/B202)</f>
        <v>0</v>
      </c>
      <c r="F202" s="36">
        <f t="shared" si="173"/>
        <v>0</v>
      </c>
    </row>
    <row r="203" ht="15.75" customHeight="1">
      <c r="A203" s="35" t="s">
        <v>6</v>
      </c>
      <c r="B203" s="17">
        <f>SUM('Daily Input'!R91:R97)</f>
        <v>0</v>
      </c>
      <c r="C203" s="17">
        <f>SUM('Daily Input'!S91:S97)</f>
        <v>0</v>
      </c>
      <c r="D203" s="17">
        <f>SUM('Daily Input'!T91:T97)</f>
        <v>0</v>
      </c>
      <c r="E203" s="36">
        <f t="shared" ref="E203:F203" si="174">IF(B203=0,0,C203/B203)</f>
        <v>0</v>
      </c>
      <c r="F203" s="36">
        <f t="shared" si="174"/>
        <v>0</v>
      </c>
    </row>
    <row r="204" ht="15.75" customHeight="1">
      <c r="A204" s="35" t="s">
        <v>7</v>
      </c>
      <c r="B204" s="17">
        <f>SUM('Daily Input'!U91:U97)</f>
        <v>0</v>
      </c>
      <c r="C204" s="17">
        <f>SUM('Daily Input'!V91:V97)</f>
        <v>0</v>
      </c>
      <c r="D204" s="17">
        <f>SUM('Daily Input'!W91:W97)</f>
        <v>0</v>
      </c>
      <c r="E204" s="36">
        <f t="shared" ref="E204:F204" si="175">IF(B204=0,0,C204/B204)</f>
        <v>0</v>
      </c>
      <c r="F204" s="36">
        <f t="shared" si="175"/>
        <v>0</v>
      </c>
    </row>
    <row r="205" ht="15.75" customHeight="1">
      <c r="A205" s="35" t="s">
        <v>8</v>
      </c>
      <c r="B205" s="17">
        <f>SUM('Daily Input'!X91:X97)</f>
        <v>0</v>
      </c>
      <c r="C205" s="17">
        <f>SUM('Daily Input'!Y91:Y97)</f>
        <v>0</v>
      </c>
      <c r="D205" s="17">
        <f>SUM('Daily Input'!Z91:Z97)</f>
        <v>0</v>
      </c>
      <c r="E205" s="36">
        <f t="shared" ref="E205:F205" si="176">IF(B205=0,0,C205/B205)</f>
        <v>0</v>
      </c>
      <c r="F205" s="36">
        <f t="shared" si="176"/>
        <v>0</v>
      </c>
    </row>
    <row r="206" ht="15.75" customHeight="1">
      <c r="A206" s="35" t="s">
        <v>9</v>
      </c>
      <c r="B206" s="17">
        <f>SUM('Daily Input'!AA91:AA97)</f>
        <v>0</v>
      </c>
      <c r="C206" s="17">
        <f>SUM('Daily Input'!AB91:AB97)</f>
        <v>0</v>
      </c>
      <c r="D206" s="17">
        <f>SUM('Daily Input'!AC91:AC97)</f>
        <v>0</v>
      </c>
      <c r="E206" s="36">
        <f t="shared" ref="E206:F206" si="177">IF(B206=0,0,C206/B206)</f>
        <v>0</v>
      </c>
      <c r="F206" s="36">
        <f t="shared" si="177"/>
        <v>0</v>
      </c>
    </row>
    <row r="207" ht="15.75" customHeight="1">
      <c r="A207" s="35" t="s">
        <v>10</v>
      </c>
      <c r="B207" s="17">
        <f>SUM('Daily Input'!AD91:AD97)</f>
        <v>0</v>
      </c>
      <c r="C207" s="17">
        <f>SUM('Daily Input'!AE91:AE97)</f>
        <v>0</v>
      </c>
      <c r="D207" s="17">
        <f>SUM('Daily Input'!AF91:AF97)</f>
        <v>0</v>
      </c>
      <c r="E207" s="36">
        <f t="shared" ref="E207:F207" si="178">IF(B207=0,0,C207/B207)</f>
        <v>0</v>
      </c>
      <c r="F207" s="36">
        <f t="shared" si="178"/>
        <v>0</v>
      </c>
    </row>
    <row r="208" ht="15.75" customHeight="1">
      <c r="A208" s="35" t="s">
        <v>11</v>
      </c>
      <c r="B208" s="17">
        <f>SUM('Daily Input'!AG91:AG97)</f>
        <v>0</v>
      </c>
      <c r="C208" s="17">
        <f>SUM('Daily Input'!AH91:AH97)</f>
        <v>0</v>
      </c>
      <c r="D208" s="17">
        <f>SUM('Daily Input'!AI91:AI97)</f>
        <v>0</v>
      </c>
      <c r="E208" s="36">
        <f t="shared" ref="E208:F208" si="179">IF(B208=0,0,C208/B208)</f>
        <v>0</v>
      </c>
      <c r="F208" s="36">
        <f t="shared" si="179"/>
        <v>0</v>
      </c>
    </row>
    <row r="209" ht="15.75" customHeight="1">
      <c r="A209" s="35" t="s">
        <v>12</v>
      </c>
      <c r="B209" s="17">
        <f>SUM('Daily Input'!AJ91:AJ97)</f>
        <v>0</v>
      </c>
      <c r="C209" s="17">
        <f>SUM('Daily Input'!AK91:AK97)</f>
        <v>0</v>
      </c>
      <c r="D209" s="17">
        <f>SUM('Daily Input'!AL91:AL97)</f>
        <v>0</v>
      </c>
      <c r="E209" s="36">
        <f t="shared" ref="E209:F209" si="180">IF(B209=0,0,C209/B209)</f>
        <v>0</v>
      </c>
      <c r="F209" s="36">
        <f t="shared" si="180"/>
        <v>0</v>
      </c>
    </row>
    <row r="210" ht="15.75" customHeight="1">
      <c r="A210" s="37" t="s">
        <v>59</v>
      </c>
      <c r="B210" s="29">
        <f t="shared" ref="B210:D210" si="181">SUM(B198:B209)</f>
        <v>0</v>
      </c>
      <c r="C210" s="29">
        <f t="shared" si="181"/>
        <v>0</v>
      </c>
      <c r="D210" s="29">
        <f t="shared" si="181"/>
        <v>0</v>
      </c>
      <c r="E210" s="30">
        <f t="shared" ref="E210:F210" si="182">IF(B210=0,0,C210/B210)</f>
        <v>0</v>
      </c>
      <c r="F210" s="30">
        <f t="shared" si="182"/>
        <v>0</v>
      </c>
    </row>
    <row r="211" ht="15.75" customHeight="1"/>
    <row r="212" ht="15.75" customHeight="1">
      <c r="A212" s="33" t="s">
        <v>72</v>
      </c>
      <c r="B212" s="4"/>
      <c r="C212" s="4"/>
      <c r="D212" s="4"/>
      <c r="E212" s="4"/>
      <c r="F212" s="4"/>
      <c r="G212" s="4"/>
      <c r="H212" s="5"/>
    </row>
    <row r="213" ht="15.75" customHeight="1">
      <c r="A213" s="34" t="s">
        <v>55</v>
      </c>
      <c r="B213" s="34" t="s">
        <v>16</v>
      </c>
      <c r="C213" s="34" t="s">
        <v>17</v>
      </c>
      <c r="D213" s="34" t="s">
        <v>56</v>
      </c>
      <c r="E213" s="34" t="s">
        <v>57</v>
      </c>
      <c r="F213" s="34" t="s">
        <v>58</v>
      </c>
    </row>
    <row r="214" ht="15.75" customHeight="1">
      <c r="A214" s="35" t="s">
        <v>1</v>
      </c>
      <c r="B214" s="17">
        <f>SUM('Daily Input'!C98:C107)</f>
        <v>0</v>
      </c>
      <c r="C214" s="17">
        <f>SUM('Daily Input'!D98:D107)</f>
        <v>0</v>
      </c>
      <c r="D214" s="17">
        <f>SUM('Daily Input'!E98:E107)</f>
        <v>0</v>
      </c>
      <c r="E214" s="36">
        <f t="shared" ref="E214:F214" si="183">IF(B214=0,0,C214/B214)</f>
        <v>0</v>
      </c>
      <c r="F214" s="36">
        <f t="shared" si="183"/>
        <v>0</v>
      </c>
    </row>
    <row r="215" ht="15.75" customHeight="1">
      <c r="A215" s="35" t="s">
        <v>2</v>
      </c>
      <c r="B215" s="17">
        <f>SUM('Daily Input'!F98:F107)</f>
        <v>0</v>
      </c>
      <c r="C215" s="17">
        <f>SUM('Daily Input'!G98:G107)</f>
        <v>0</v>
      </c>
      <c r="D215" s="17">
        <f>SUM('Daily Input'!H98:H107)</f>
        <v>0</v>
      </c>
      <c r="E215" s="36">
        <f t="shared" ref="E215:F215" si="184">IF(B215=0,0,C215/B215)</f>
        <v>0</v>
      </c>
      <c r="F215" s="36">
        <f t="shared" si="184"/>
        <v>0</v>
      </c>
    </row>
    <row r="216" ht="15.75" customHeight="1">
      <c r="A216" s="35" t="s">
        <v>3</v>
      </c>
      <c r="B216" s="17">
        <f>SUM('Daily Input'!I98:I107)</f>
        <v>0</v>
      </c>
      <c r="C216" s="17">
        <f>SUM('Daily Input'!J98:J107)</f>
        <v>0</v>
      </c>
      <c r="D216" s="17">
        <f>SUM('Daily Input'!K98:K107)</f>
        <v>0</v>
      </c>
      <c r="E216" s="36">
        <f t="shared" ref="E216:F216" si="185">IF(B216=0,0,C216/B216)</f>
        <v>0</v>
      </c>
      <c r="F216" s="36">
        <f t="shared" si="185"/>
        <v>0</v>
      </c>
    </row>
    <row r="217" ht="15.75" customHeight="1">
      <c r="A217" s="35" t="s">
        <v>4</v>
      </c>
      <c r="B217" s="17">
        <f>SUM('Daily Input'!L98:L107)</f>
        <v>0</v>
      </c>
      <c r="C217" s="17">
        <f>SUM('Daily Input'!M98:M107)</f>
        <v>0</v>
      </c>
      <c r="D217" s="17">
        <f>SUM('Daily Input'!N98:N107)</f>
        <v>0</v>
      </c>
      <c r="E217" s="36">
        <f t="shared" ref="E217:F217" si="186">IF(B217=0,0,C217/B217)</f>
        <v>0</v>
      </c>
      <c r="F217" s="36">
        <f t="shared" si="186"/>
        <v>0</v>
      </c>
    </row>
    <row r="218" ht="15.75" customHeight="1">
      <c r="A218" s="35" t="s">
        <v>5</v>
      </c>
      <c r="B218" s="17">
        <f>SUM('Daily Input'!O98:O107)</f>
        <v>0</v>
      </c>
      <c r="C218" s="17">
        <f>SUM('Daily Input'!P98:P107)</f>
        <v>0</v>
      </c>
      <c r="D218" s="17">
        <f>SUM('Daily Input'!Q98:Q107)</f>
        <v>0</v>
      </c>
      <c r="E218" s="36">
        <f t="shared" ref="E218:F218" si="187">IF(B218=0,0,C218/B218)</f>
        <v>0</v>
      </c>
      <c r="F218" s="36">
        <f t="shared" si="187"/>
        <v>0</v>
      </c>
    </row>
    <row r="219" ht="15.75" customHeight="1">
      <c r="A219" s="35" t="s">
        <v>6</v>
      </c>
      <c r="B219" s="17">
        <f>SUM('Daily Input'!R98:R107)</f>
        <v>0</v>
      </c>
      <c r="C219" s="17">
        <f>SUM('Daily Input'!S98:S107)</f>
        <v>0</v>
      </c>
      <c r="D219" s="17">
        <f>SUM('Daily Input'!T98:T107)</f>
        <v>0</v>
      </c>
      <c r="E219" s="36">
        <f t="shared" ref="E219:F219" si="188">IF(B219=0,0,C219/B219)</f>
        <v>0</v>
      </c>
      <c r="F219" s="36">
        <f t="shared" si="188"/>
        <v>0</v>
      </c>
    </row>
    <row r="220" ht="15.75" customHeight="1">
      <c r="A220" s="35" t="s">
        <v>7</v>
      </c>
      <c r="B220" s="17">
        <f>SUM('Daily Input'!U98:U107)</f>
        <v>0</v>
      </c>
      <c r="C220" s="17">
        <f>SUM('Daily Input'!V98:V107)</f>
        <v>0</v>
      </c>
      <c r="D220" s="17">
        <f>SUM('Daily Input'!W98:W107)</f>
        <v>0</v>
      </c>
      <c r="E220" s="36">
        <f t="shared" ref="E220:F220" si="189">IF(B220=0,0,C220/B220)</f>
        <v>0</v>
      </c>
      <c r="F220" s="36">
        <f t="shared" si="189"/>
        <v>0</v>
      </c>
    </row>
    <row r="221" ht="15.75" customHeight="1">
      <c r="A221" s="35" t="s">
        <v>8</v>
      </c>
      <c r="B221" s="17">
        <f>SUM('Daily Input'!X98:X107)</f>
        <v>0</v>
      </c>
      <c r="C221" s="17">
        <f>SUM('Daily Input'!Y98:Y107)</f>
        <v>0</v>
      </c>
      <c r="D221" s="17">
        <f>SUM('Daily Input'!Z98:Z107)</f>
        <v>0</v>
      </c>
      <c r="E221" s="36">
        <f t="shared" ref="E221:F221" si="190">IF(B221=0,0,C221/B221)</f>
        <v>0</v>
      </c>
      <c r="F221" s="36">
        <f t="shared" si="190"/>
        <v>0</v>
      </c>
    </row>
    <row r="222" ht="15.75" customHeight="1">
      <c r="A222" s="35" t="s">
        <v>9</v>
      </c>
      <c r="B222" s="17">
        <f>SUM('Daily Input'!AA98:AA107)</f>
        <v>0</v>
      </c>
      <c r="C222" s="17">
        <f>SUM('Daily Input'!AB98:AB107)</f>
        <v>0</v>
      </c>
      <c r="D222" s="17">
        <f>SUM('Daily Input'!AC98:AC107)</f>
        <v>0</v>
      </c>
      <c r="E222" s="36">
        <f t="shared" ref="E222:F222" si="191">IF(B222=0,0,C222/B222)</f>
        <v>0</v>
      </c>
      <c r="F222" s="36">
        <f t="shared" si="191"/>
        <v>0</v>
      </c>
    </row>
    <row r="223" ht="15.75" customHeight="1">
      <c r="A223" s="35" t="s">
        <v>10</v>
      </c>
      <c r="B223" s="17">
        <f>SUM('Daily Input'!AD98:AD107)</f>
        <v>0</v>
      </c>
      <c r="C223" s="17">
        <f>SUM('Daily Input'!AE98:AE107)</f>
        <v>0</v>
      </c>
      <c r="D223" s="17">
        <f>SUM('Daily Input'!AF98:AF107)</f>
        <v>0</v>
      </c>
      <c r="E223" s="36">
        <f t="shared" ref="E223:F223" si="192">IF(B223=0,0,C223/B223)</f>
        <v>0</v>
      </c>
      <c r="F223" s="36">
        <f t="shared" si="192"/>
        <v>0</v>
      </c>
    </row>
    <row r="224" ht="15.75" customHeight="1">
      <c r="A224" s="35" t="s">
        <v>11</v>
      </c>
      <c r="B224" s="17">
        <f>SUM('Daily Input'!AG98:AG107)</f>
        <v>0</v>
      </c>
      <c r="C224" s="17">
        <f>SUM('Daily Input'!AH98:AH107)</f>
        <v>0</v>
      </c>
      <c r="D224" s="17">
        <f>SUM('Daily Input'!AI98:AI107)</f>
        <v>0</v>
      </c>
      <c r="E224" s="36">
        <f t="shared" ref="E224:F224" si="193">IF(B224=0,0,C224/B224)</f>
        <v>0</v>
      </c>
      <c r="F224" s="36">
        <f t="shared" si="193"/>
        <v>0</v>
      </c>
    </row>
    <row r="225" ht="15.75" customHeight="1">
      <c r="A225" s="35" t="s">
        <v>12</v>
      </c>
      <c r="B225" s="17">
        <f>SUM('Daily Input'!AJ98:AJ107)</f>
        <v>0</v>
      </c>
      <c r="C225" s="17">
        <f>SUM('Daily Input'!AK98:AK107)</f>
        <v>0</v>
      </c>
      <c r="D225" s="17">
        <f>SUM('Daily Input'!AL98:AL107)</f>
        <v>0</v>
      </c>
      <c r="E225" s="36">
        <f t="shared" ref="E225:F225" si="194">IF(B225=0,0,C225/B225)</f>
        <v>0</v>
      </c>
      <c r="F225" s="36">
        <f t="shared" si="194"/>
        <v>0</v>
      </c>
    </row>
    <row r="226" ht="15.75" customHeight="1">
      <c r="A226" s="37" t="s">
        <v>59</v>
      </c>
      <c r="B226" s="29">
        <f t="shared" ref="B226:D226" si="195">SUM(B214:B225)</f>
        <v>0</v>
      </c>
      <c r="C226" s="29">
        <f t="shared" si="195"/>
        <v>0</v>
      </c>
      <c r="D226" s="29">
        <f t="shared" si="195"/>
        <v>0</v>
      </c>
      <c r="E226" s="30">
        <f t="shared" ref="E226:F226" si="196">IF(B226=0,0,C226/B226)</f>
        <v>0</v>
      </c>
      <c r="F226" s="30">
        <f t="shared" si="196"/>
        <v>0</v>
      </c>
    </row>
    <row r="227" ht="15.75" customHeight="1"/>
    <row r="228" ht="15.75" customHeight="1">
      <c r="A228" s="33" t="s">
        <v>73</v>
      </c>
      <c r="B228" s="4"/>
      <c r="C228" s="4"/>
      <c r="D228" s="4"/>
      <c r="E228" s="4"/>
      <c r="F228" s="4"/>
      <c r="G228" s="4"/>
      <c r="H228" s="5"/>
    </row>
    <row r="229" ht="15.75" customHeight="1">
      <c r="A229" s="34" t="s">
        <v>55</v>
      </c>
      <c r="B229" s="34" t="s">
        <v>16</v>
      </c>
      <c r="C229" s="34" t="s">
        <v>17</v>
      </c>
      <c r="D229" s="34" t="s">
        <v>56</v>
      </c>
      <c r="E229" s="34" t="s">
        <v>57</v>
      </c>
      <c r="F229" s="34" t="s">
        <v>58</v>
      </c>
    </row>
    <row r="230" ht="15.75" customHeight="1">
      <c r="A230" s="35" t="s">
        <v>1</v>
      </c>
      <c r="B230" s="17">
        <f>SUM('Daily Input'!C108:C114)</f>
        <v>0</v>
      </c>
      <c r="C230" s="17">
        <f>SUM('Daily Input'!D108:D114)</f>
        <v>0</v>
      </c>
      <c r="D230" s="17">
        <f>SUM('Daily Input'!E108:E114)</f>
        <v>0</v>
      </c>
      <c r="E230" s="36">
        <f t="shared" ref="E230:F230" si="197">IF(B230=0,0,C230/B230)</f>
        <v>0</v>
      </c>
      <c r="F230" s="36">
        <f t="shared" si="197"/>
        <v>0</v>
      </c>
    </row>
    <row r="231" ht="15.75" customHeight="1">
      <c r="A231" s="35" t="s">
        <v>2</v>
      </c>
      <c r="B231" s="17">
        <f>SUM('Daily Input'!F108:F114)</f>
        <v>0</v>
      </c>
      <c r="C231" s="17">
        <f>SUM('Daily Input'!G108:G114)</f>
        <v>0</v>
      </c>
      <c r="D231" s="17">
        <f>SUM('Daily Input'!H108:H114)</f>
        <v>0</v>
      </c>
      <c r="E231" s="36">
        <f t="shared" ref="E231:F231" si="198">IF(B231=0,0,C231/B231)</f>
        <v>0</v>
      </c>
      <c r="F231" s="36">
        <f t="shared" si="198"/>
        <v>0</v>
      </c>
    </row>
    <row r="232" ht="15.75" customHeight="1">
      <c r="A232" s="35" t="s">
        <v>3</v>
      </c>
      <c r="B232" s="17">
        <f>SUM('Daily Input'!I108:I114)</f>
        <v>0</v>
      </c>
      <c r="C232" s="17">
        <f>SUM('Daily Input'!J108:J114)</f>
        <v>0</v>
      </c>
      <c r="D232" s="17">
        <f>SUM('Daily Input'!K108:K114)</f>
        <v>0</v>
      </c>
      <c r="E232" s="36">
        <f t="shared" ref="E232:F232" si="199">IF(B232=0,0,C232/B232)</f>
        <v>0</v>
      </c>
      <c r="F232" s="36">
        <f t="shared" si="199"/>
        <v>0</v>
      </c>
    </row>
    <row r="233" ht="15.75" customHeight="1">
      <c r="A233" s="35" t="s">
        <v>4</v>
      </c>
      <c r="B233" s="17">
        <f>SUM('Daily Input'!L108:L114)</f>
        <v>0</v>
      </c>
      <c r="C233" s="17">
        <f>SUM('Daily Input'!M108:M114)</f>
        <v>0</v>
      </c>
      <c r="D233" s="17">
        <f>SUM('Daily Input'!N108:N114)</f>
        <v>0</v>
      </c>
      <c r="E233" s="36">
        <f t="shared" ref="E233:F233" si="200">IF(B233=0,0,C233/B233)</f>
        <v>0</v>
      </c>
      <c r="F233" s="36">
        <f t="shared" si="200"/>
        <v>0</v>
      </c>
    </row>
    <row r="234" ht="15.75" customHeight="1">
      <c r="A234" s="35" t="s">
        <v>5</v>
      </c>
      <c r="B234" s="17">
        <f>SUM('Daily Input'!O108:O114)</f>
        <v>0</v>
      </c>
      <c r="C234" s="17">
        <f>SUM('Daily Input'!P108:P114)</f>
        <v>0</v>
      </c>
      <c r="D234" s="17">
        <f>SUM('Daily Input'!Q108:Q114)</f>
        <v>0</v>
      </c>
      <c r="E234" s="36">
        <f t="shared" ref="E234:F234" si="201">IF(B234=0,0,C234/B234)</f>
        <v>0</v>
      </c>
      <c r="F234" s="36">
        <f t="shared" si="201"/>
        <v>0</v>
      </c>
    </row>
    <row r="235" ht="15.75" customHeight="1">
      <c r="A235" s="35" t="s">
        <v>6</v>
      </c>
      <c r="B235" s="17">
        <f>SUM('Daily Input'!R108:R114)</f>
        <v>0</v>
      </c>
      <c r="C235" s="17">
        <f>SUM('Daily Input'!S108:S114)</f>
        <v>0</v>
      </c>
      <c r="D235" s="17">
        <f>SUM('Daily Input'!T108:T114)</f>
        <v>0</v>
      </c>
      <c r="E235" s="36">
        <f t="shared" ref="E235:F235" si="202">IF(B235=0,0,C235/B235)</f>
        <v>0</v>
      </c>
      <c r="F235" s="36">
        <f t="shared" si="202"/>
        <v>0</v>
      </c>
    </row>
    <row r="236" ht="15.75" customHeight="1">
      <c r="A236" s="35" t="s">
        <v>7</v>
      </c>
      <c r="B236" s="17">
        <f>SUM('Daily Input'!U108:U114)</f>
        <v>0</v>
      </c>
      <c r="C236" s="17">
        <f>SUM('Daily Input'!V108:V114)</f>
        <v>0</v>
      </c>
      <c r="D236" s="17">
        <f>SUM('Daily Input'!W108:W114)</f>
        <v>0</v>
      </c>
      <c r="E236" s="36">
        <f t="shared" ref="E236:F236" si="203">IF(B236=0,0,C236/B236)</f>
        <v>0</v>
      </c>
      <c r="F236" s="36">
        <f t="shared" si="203"/>
        <v>0</v>
      </c>
    </row>
    <row r="237" ht="15.75" customHeight="1">
      <c r="A237" s="35" t="s">
        <v>8</v>
      </c>
      <c r="B237" s="17">
        <f>SUM('Daily Input'!X108:X114)</f>
        <v>0</v>
      </c>
      <c r="C237" s="17">
        <f>SUM('Daily Input'!Y108:Y114)</f>
        <v>0</v>
      </c>
      <c r="D237" s="17">
        <f>SUM('Daily Input'!Z108:Z114)</f>
        <v>0</v>
      </c>
      <c r="E237" s="36">
        <f t="shared" ref="E237:F237" si="204">IF(B237=0,0,C237/B237)</f>
        <v>0</v>
      </c>
      <c r="F237" s="36">
        <f t="shared" si="204"/>
        <v>0</v>
      </c>
    </row>
    <row r="238" ht="15.75" customHeight="1">
      <c r="A238" s="35" t="s">
        <v>9</v>
      </c>
      <c r="B238" s="17">
        <f>SUM('Daily Input'!AA108:AA114)</f>
        <v>0</v>
      </c>
      <c r="C238" s="17">
        <f>SUM('Daily Input'!AB108:AB114)</f>
        <v>0</v>
      </c>
      <c r="D238" s="17">
        <f>SUM('Daily Input'!AC108:AC114)</f>
        <v>0</v>
      </c>
      <c r="E238" s="36">
        <f t="shared" ref="E238:F238" si="205">IF(B238=0,0,C238/B238)</f>
        <v>0</v>
      </c>
      <c r="F238" s="36">
        <f t="shared" si="205"/>
        <v>0</v>
      </c>
    </row>
    <row r="239" ht="15.75" customHeight="1">
      <c r="A239" s="35" t="s">
        <v>10</v>
      </c>
      <c r="B239" s="17">
        <f>SUM('Daily Input'!AD108:AD114)</f>
        <v>0</v>
      </c>
      <c r="C239" s="17">
        <f>SUM('Daily Input'!AE108:AE114)</f>
        <v>0</v>
      </c>
      <c r="D239" s="17">
        <f>SUM('Daily Input'!AF108:AF114)</f>
        <v>0</v>
      </c>
      <c r="E239" s="36">
        <f t="shared" ref="E239:F239" si="206">IF(B239=0,0,C239/B239)</f>
        <v>0</v>
      </c>
      <c r="F239" s="36">
        <f t="shared" si="206"/>
        <v>0</v>
      </c>
    </row>
    <row r="240" ht="15.75" customHeight="1">
      <c r="A240" s="35" t="s">
        <v>11</v>
      </c>
      <c r="B240" s="17">
        <f>SUM('Daily Input'!AG108:AG114)</f>
        <v>0</v>
      </c>
      <c r="C240" s="17">
        <f>SUM('Daily Input'!AH108:AH114)</f>
        <v>0</v>
      </c>
      <c r="D240" s="17">
        <f>SUM('Daily Input'!AI108:AI114)</f>
        <v>0</v>
      </c>
      <c r="E240" s="36">
        <f t="shared" ref="E240:F240" si="207">IF(B240=0,0,C240/B240)</f>
        <v>0</v>
      </c>
      <c r="F240" s="36">
        <f t="shared" si="207"/>
        <v>0</v>
      </c>
    </row>
    <row r="241" ht="15.75" customHeight="1">
      <c r="A241" s="35" t="s">
        <v>12</v>
      </c>
      <c r="B241" s="17">
        <f>SUM('Daily Input'!AJ108:AJ114)</f>
        <v>0</v>
      </c>
      <c r="C241" s="17">
        <f>SUM('Daily Input'!AK108:AK114)</f>
        <v>0</v>
      </c>
      <c r="D241" s="17">
        <f>SUM('Daily Input'!AL108:AL114)</f>
        <v>0</v>
      </c>
      <c r="E241" s="36">
        <f t="shared" ref="E241:F241" si="208">IF(B241=0,0,C241/B241)</f>
        <v>0</v>
      </c>
      <c r="F241" s="36">
        <f t="shared" si="208"/>
        <v>0</v>
      </c>
    </row>
    <row r="242" ht="15.75" customHeight="1">
      <c r="A242" s="37" t="s">
        <v>59</v>
      </c>
      <c r="B242" s="29">
        <f t="shared" ref="B242:D242" si="209">SUM(B230:B241)</f>
        <v>0</v>
      </c>
      <c r="C242" s="29">
        <f t="shared" si="209"/>
        <v>0</v>
      </c>
      <c r="D242" s="29">
        <f t="shared" si="209"/>
        <v>0</v>
      </c>
      <c r="E242" s="30">
        <f t="shared" ref="E242:F242" si="210">IF(B242=0,0,C242/B242)</f>
        <v>0</v>
      </c>
      <c r="F242" s="30">
        <f t="shared" si="210"/>
        <v>0</v>
      </c>
    </row>
    <row r="243" ht="15.75" customHeight="1"/>
    <row r="244" ht="15.75" customHeight="1">
      <c r="A244" s="33" t="s">
        <v>74</v>
      </c>
      <c r="B244" s="4"/>
      <c r="C244" s="4"/>
      <c r="D244" s="4"/>
      <c r="E244" s="4"/>
      <c r="F244" s="4"/>
      <c r="G244" s="4"/>
      <c r="H244" s="5"/>
    </row>
    <row r="245" ht="15.75" customHeight="1">
      <c r="A245" s="34" t="s">
        <v>55</v>
      </c>
      <c r="B245" s="34" t="s">
        <v>16</v>
      </c>
      <c r="C245" s="34" t="s">
        <v>17</v>
      </c>
      <c r="D245" s="34" t="s">
        <v>56</v>
      </c>
      <c r="E245" s="34" t="s">
        <v>57</v>
      </c>
      <c r="F245" s="34" t="s">
        <v>58</v>
      </c>
    </row>
    <row r="246" ht="15.75" customHeight="1">
      <c r="A246" s="35" t="s">
        <v>1</v>
      </c>
      <c r="B246" s="17">
        <f>SUM('Daily Input'!C115:C121)</f>
        <v>0</v>
      </c>
      <c r="C246" s="17">
        <f>SUM('Daily Input'!D115:D121)</f>
        <v>0</v>
      </c>
      <c r="D246" s="17">
        <f>SUM('Daily Input'!E115:E121)</f>
        <v>0</v>
      </c>
      <c r="E246" s="36">
        <f t="shared" ref="E246:F246" si="211">IF(B246=0,0,C246/B246)</f>
        <v>0</v>
      </c>
      <c r="F246" s="36">
        <f t="shared" si="211"/>
        <v>0</v>
      </c>
    </row>
    <row r="247" ht="15.75" customHeight="1">
      <c r="A247" s="35" t="s">
        <v>2</v>
      </c>
      <c r="B247" s="17">
        <f>SUM('Daily Input'!F115:F121)</f>
        <v>0</v>
      </c>
      <c r="C247" s="17">
        <f>SUM('Daily Input'!G115:G121)</f>
        <v>0</v>
      </c>
      <c r="D247" s="17">
        <f>SUM('Daily Input'!H115:H121)</f>
        <v>0</v>
      </c>
      <c r="E247" s="36">
        <f t="shared" ref="E247:F247" si="212">IF(B247=0,0,C247/B247)</f>
        <v>0</v>
      </c>
      <c r="F247" s="36">
        <f t="shared" si="212"/>
        <v>0</v>
      </c>
    </row>
    <row r="248" ht="15.75" customHeight="1">
      <c r="A248" s="35" t="s">
        <v>3</v>
      </c>
      <c r="B248" s="17">
        <f>SUM('Daily Input'!I115:I121)</f>
        <v>0</v>
      </c>
      <c r="C248" s="17">
        <f>SUM('Daily Input'!J115:J121)</f>
        <v>0</v>
      </c>
      <c r="D248" s="17">
        <f>SUM('Daily Input'!K115:K121)</f>
        <v>0</v>
      </c>
      <c r="E248" s="36">
        <f t="shared" ref="E248:F248" si="213">IF(B248=0,0,C248/B248)</f>
        <v>0</v>
      </c>
      <c r="F248" s="36">
        <f t="shared" si="213"/>
        <v>0</v>
      </c>
    </row>
    <row r="249" ht="15.75" customHeight="1">
      <c r="A249" s="35" t="s">
        <v>4</v>
      </c>
      <c r="B249" s="17">
        <f>SUM('Daily Input'!L115:L121)</f>
        <v>0</v>
      </c>
      <c r="C249" s="17">
        <f>SUM('Daily Input'!M115:M121)</f>
        <v>0</v>
      </c>
      <c r="D249" s="17">
        <f>SUM('Daily Input'!N115:N121)</f>
        <v>0</v>
      </c>
      <c r="E249" s="36">
        <f t="shared" ref="E249:F249" si="214">IF(B249=0,0,C249/B249)</f>
        <v>0</v>
      </c>
      <c r="F249" s="36">
        <f t="shared" si="214"/>
        <v>0</v>
      </c>
    </row>
    <row r="250" ht="15.75" customHeight="1">
      <c r="A250" s="35" t="s">
        <v>5</v>
      </c>
      <c r="B250" s="17">
        <f>SUM('Daily Input'!O115:O121)</f>
        <v>0</v>
      </c>
      <c r="C250" s="17">
        <f>SUM('Daily Input'!P115:P121)</f>
        <v>0</v>
      </c>
      <c r="D250" s="17">
        <f>SUM('Daily Input'!Q115:Q121)</f>
        <v>0</v>
      </c>
      <c r="E250" s="36">
        <f t="shared" ref="E250:F250" si="215">IF(B250=0,0,C250/B250)</f>
        <v>0</v>
      </c>
      <c r="F250" s="36">
        <f t="shared" si="215"/>
        <v>0</v>
      </c>
    </row>
    <row r="251" ht="15.75" customHeight="1">
      <c r="A251" s="35" t="s">
        <v>6</v>
      </c>
      <c r="B251" s="17">
        <f>SUM('Daily Input'!R115:R121)</f>
        <v>0</v>
      </c>
      <c r="C251" s="17">
        <f>SUM('Daily Input'!S115:S121)</f>
        <v>0</v>
      </c>
      <c r="D251" s="17">
        <f>SUM('Daily Input'!T115:T121)</f>
        <v>0</v>
      </c>
      <c r="E251" s="36">
        <f t="shared" ref="E251:F251" si="216">IF(B251=0,0,C251/B251)</f>
        <v>0</v>
      </c>
      <c r="F251" s="36">
        <f t="shared" si="216"/>
        <v>0</v>
      </c>
    </row>
    <row r="252" ht="15.75" customHeight="1">
      <c r="A252" s="35" t="s">
        <v>7</v>
      </c>
      <c r="B252" s="17">
        <f>SUM('Daily Input'!U115:U121)</f>
        <v>0</v>
      </c>
      <c r="C252" s="17">
        <f>SUM('Daily Input'!V115:V121)</f>
        <v>0</v>
      </c>
      <c r="D252" s="17">
        <f>SUM('Daily Input'!W115:W121)</f>
        <v>0</v>
      </c>
      <c r="E252" s="36">
        <f t="shared" ref="E252:F252" si="217">IF(B252=0,0,C252/B252)</f>
        <v>0</v>
      </c>
      <c r="F252" s="36">
        <f t="shared" si="217"/>
        <v>0</v>
      </c>
    </row>
    <row r="253" ht="15.75" customHeight="1">
      <c r="A253" s="35" t="s">
        <v>8</v>
      </c>
      <c r="B253" s="17">
        <f>SUM('Daily Input'!X115:X121)</f>
        <v>0</v>
      </c>
      <c r="C253" s="17">
        <f>SUM('Daily Input'!Y115:Y121)</f>
        <v>0</v>
      </c>
      <c r="D253" s="17">
        <f>SUM('Daily Input'!Z115:Z121)</f>
        <v>0</v>
      </c>
      <c r="E253" s="36">
        <f t="shared" ref="E253:F253" si="218">IF(B253=0,0,C253/B253)</f>
        <v>0</v>
      </c>
      <c r="F253" s="36">
        <f t="shared" si="218"/>
        <v>0</v>
      </c>
    </row>
    <row r="254" ht="15.75" customHeight="1">
      <c r="A254" s="35" t="s">
        <v>9</v>
      </c>
      <c r="B254" s="17">
        <f>SUM('Daily Input'!AA115:AA121)</f>
        <v>0</v>
      </c>
      <c r="C254" s="17">
        <f>SUM('Daily Input'!AB115:AB121)</f>
        <v>0</v>
      </c>
      <c r="D254" s="17">
        <f>SUM('Daily Input'!AC115:AC121)</f>
        <v>0</v>
      </c>
      <c r="E254" s="36">
        <f t="shared" ref="E254:F254" si="219">IF(B254=0,0,C254/B254)</f>
        <v>0</v>
      </c>
      <c r="F254" s="36">
        <f t="shared" si="219"/>
        <v>0</v>
      </c>
    </row>
    <row r="255" ht="15.75" customHeight="1">
      <c r="A255" s="35" t="s">
        <v>10</v>
      </c>
      <c r="B255" s="17">
        <f>SUM('Daily Input'!AD115:AD121)</f>
        <v>0</v>
      </c>
      <c r="C255" s="17">
        <f>SUM('Daily Input'!AE115:AE121)</f>
        <v>0</v>
      </c>
      <c r="D255" s="17">
        <f>SUM('Daily Input'!AF115:AF121)</f>
        <v>0</v>
      </c>
      <c r="E255" s="36">
        <f t="shared" ref="E255:F255" si="220">IF(B255=0,0,C255/B255)</f>
        <v>0</v>
      </c>
      <c r="F255" s="36">
        <f t="shared" si="220"/>
        <v>0</v>
      </c>
    </row>
    <row r="256" ht="15.75" customHeight="1">
      <c r="A256" s="35" t="s">
        <v>11</v>
      </c>
      <c r="B256" s="17">
        <f>SUM('Daily Input'!AG115:AG121)</f>
        <v>0</v>
      </c>
      <c r="C256" s="17">
        <f>SUM('Daily Input'!AH115:AH121)</f>
        <v>0</v>
      </c>
      <c r="D256" s="17">
        <f>SUM('Daily Input'!AI115:AI121)</f>
        <v>0</v>
      </c>
      <c r="E256" s="36">
        <f t="shared" ref="E256:F256" si="221">IF(B256=0,0,C256/B256)</f>
        <v>0</v>
      </c>
      <c r="F256" s="36">
        <f t="shared" si="221"/>
        <v>0</v>
      </c>
    </row>
    <row r="257" ht="15.75" customHeight="1">
      <c r="A257" s="35" t="s">
        <v>12</v>
      </c>
      <c r="B257" s="17">
        <f>SUM('Daily Input'!AJ115:AJ121)</f>
        <v>0</v>
      </c>
      <c r="C257" s="17">
        <f>SUM('Daily Input'!AK115:AK121)</f>
        <v>0</v>
      </c>
      <c r="D257" s="17">
        <f>SUM('Daily Input'!AL115:AL121)</f>
        <v>0</v>
      </c>
      <c r="E257" s="36">
        <f t="shared" ref="E257:F257" si="222">IF(B257=0,0,C257/B257)</f>
        <v>0</v>
      </c>
      <c r="F257" s="36">
        <f t="shared" si="222"/>
        <v>0</v>
      </c>
    </row>
    <row r="258" ht="15.75" customHeight="1">
      <c r="A258" s="37" t="s">
        <v>59</v>
      </c>
      <c r="B258" s="29">
        <f t="shared" ref="B258:D258" si="223">SUM(B246:B257)</f>
        <v>0</v>
      </c>
      <c r="C258" s="29">
        <f t="shared" si="223"/>
        <v>0</v>
      </c>
      <c r="D258" s="29">
        <f t="shared" si="223"/>
        <v>0</v>
      </c>
      <c r="E258" s="30">
        <f t="shared" ref="E258:F258" si="224">IF(B258=0,0,C258/B258)</f>
        <v>0</v>
      </c>
      <c r="F258" s="30">
        <f t="shared" si="224"/>
        <v>0</v>
      </c>
    </row>
    <row r="259" ht="15.75" customHeight="1"/>
    <row r="260" ht="15.75" customHeight="1">
      <c r="A260" s="33" t="s">
        <v>75</v>
      </c>
      <c r="B260" s="4"/>
      <c r="C260" s="4"/>
      <c r="D260" s="4"/>
      <c r="E260" s="4"/>
      <c r="F260" s="4"/>
      <c r="G260" s="4"/>
      <c r="H260" s="5"/>
    </row>
    <row r="261" ht="15.75" customHeight="1">
      <c r="A261" s="34" t="s">
        <v>55</v>
      </c>
      <c r="B261" s="34" t="s">
        <v>16</v>
      </c>
      <c r="C261" s="34" t="s">
        <v>17</v>
      </c>
      <c r="D261" s="34" t="s">
        <v>56</v>
      </c>
      <c r="E261" s="34" t="s">
        <v>57</v>
      </c>
      <c r="F261" s="34" t="s">
        <v>58</v>
      </c>
    </row>
    <row r="262" ht="15.75" customHeight="1">
      <c r="A262" s="35" t="s">
        <v>1</v>
      </c>
      <c r="B262" s="17">
        <f>SUM('Daily Input'!C122:C128)</f>
        <v>0</v>
      </c>
      <c r="C262" s="17">
        <f>SUM('Daily Input'!D122:D128)</f>
        <v>0</v>
      </c>
      <c r="D262" s="17">
        <f>SUM('Daily Input'!E122:E128)</f>
        <v>0</v>
      </c>
      <c r="E262" s="36">
        <f t="shared" ref="E262:F262" si="225">IF(B262=0,0,C262/B262)</f>
        <v>0</v>
      </c>
      <c r="F262" s="36">
        <f t="shared" si="225"/>
        <v>0</v>
      </c>
    </row>
    <row r="263" ht="15.75" customHeight="1">
      <c r="A263" s="35" t="s">
        <v>2</v>
      </c>
      <c r="B263" s="17">
        <f>SUM('Daily Input'!F122:F128)</f>
        <v>0</v>
      </c>
      <c r="C263" s="17">
        <f>SUM('Daily Input'!G122:G128)</f>
        <v>0</v>
      </c>
      <c r="D263" s="17">
        <f>SUM('Daily Input'!H122:H128)</f>
        <v>0</v>
      </c>
      <c r="E263" s="36">
        <f t="shared" ref="E263:F263" si="226">IF(B263=0,0,C263/B263)</f>
        <v>0</v>
      </c>
      <c r="F263" s="36">
        <f t="shared" si="226"/>
        <v>0</v>
      </c>
    </row>
    <row r="264" ht="15.75" customHeight="1">
      <c r="A264" s="35" t="s">
        <v>3</v>
      </c>
      <c r="B264" s="17">
        <f>SUM('Daily Input'!I122:I128)</f>
        <v>0</v>
      </c>
      <c r="C264" s="17">
        <f>SUM('Daily Input'!J122:J128)</f>
        <v>0</v>
      </c>
      <c r="D264" s="17">
        <f>SUM('Daily Input'!K122:K128)</f>
        <v>0</v>
      </c>
      <c r="E264" s="36">
        <f t="shared" ref="E264:F264" si="227">IF(B264=0,0,C264/B264)</f>
        <v>0</v>
      </c>
      <c r="F264" s="36">
        <f t="shared" si="227"/>
        <v>0</v>
      </c>
    </row>
    <row r="265" ht="15.75" customHeight="1">
      <c r="A265" s="35" t="s">
        <v>4</v>
      </c>
      <c r="B265" s="17">
        <f>SUM('Daily Input'!L122:L128)</f>
        <v>0</v>
      </c>
      <c r="C265" s="17">
        <f>SUM('Daily Input'!M122:M128)</f>
        <v>0</v>
      </c>
      <c r="D265" s="17">
        <f>SUM('Daily Input'!N122:N128)</f>
        <v>0</v>
      </c>
      <c r="E265" s="36">
        <f t="shared" ref="E265:F265" si="228">IF(B265=0,0,C265/B265)</f>
        <v>0</v>
      </c>
      <c r="F265" s="36">
        <f t="shared" si="228"/>
        <v>0</v>
      </c>
    </row>
    <row r="266" ht="15.75" customHeight="1">
      <c r="A266" s="35" t="s">
        <v>5</v>
      </c>
      <c r="B266" s="17">
        <f>SUM('Daily Input'!O122:O128)</f>
        <v>0</v>
      </c>
      <c r="C266" s="17">
        <f>SUM('Daily Input'!P122:P128)</f>
        <v>0</v>
      </c>
      <c r="D266" s="17">
        <f>SUM('Daily Input'!Q122:Q128)</f>
        <v>0</v>
      </c>
      <c r="E266" s="36">
        <f t="shared" ref="E266:F266" si="229">IF(B266=0,0,C266/B266)</f>
        <v>0</v>
      </c>
      <c r="F266" s="36">
        <f t="shared" si="229"/>
        <v>0</v>
      </c>
    </row>
    <row r="267" ht="15.75" customHeight="1">
      <c r="A267" s="35" t="s">
        <v>6</v>
      </c>
      <c r="B267" s="17">
        <f>SUM('Daily Input'!R122:R128)</f>
        <v>0</v>
      </c>
      <c r="C267" s="17">
        <f>SUM('Daily Input'!S122:S128)</f>
        <v>0</v>
      </c>
      <c r="D267" s="17">
        <f>SUM('Daily Input'!T122:T128)</f>
        <v>0</v>
      </c>
      <c r="E267" s="36">
        <f t="shared" ref="E267:F267" si="230">IF(B267=0,0,C267/B267)</f>
        <v>0</v>
      </c>
      <c r="F267" s="36">
        <f t="shared" si="230"/>
        <v>0</v>
      </c>
    </row>
    <row r="268" ht="15.75" customHeight="1">
      <c r="A268" s="35" t="s">
        <v>7</v>
      </c>
      <c r="B268" s="17">
        <f>SUM('Daily Input'!U122:U128)</f>
        <v>0</v>
      </c>
      <c r="C268" s="17">
        <f>SUM('Daily Input'!V122:V128)</f>
        <v>0</v>
      </c>
      <c r="D268" s="17">
        <f>SUM('Daily Input'!W122:W128)</f>
        <v>0</v>
      </c>
      <c r="E268" s="36">
        <f t="shared" ref="E268:F268" si="231">IF(B268=0,0,C268/B268)</f>
        <v>0</v>
      </c>
      <c r="F268" s="36">
        <f t="shared" si="231"/>
        <v>0</v>
      </c>
    </row>
    <row r="269" ht="15.75" customHeight="1">
      <c r="A269" s="35" t="s">
        <v>8</v>
      </c>
      <c r="B269" s="17">
        <f>SUM('Daily Input'!X122:X128)</f>
        <v>0</v>
      </c>
      <c r="C269" s="17">
        <f>SUM('Daily Input'!Y122:Y128)</f>
        <v>0</v>
      </c>
      <c r="D269" s="17">
        <f>SUM('Daily Input'!Z122:Z128)</f>
        <v>0</v>
      </c>
      <c r="E269" s="36">
        <f t="shared" ref="E269:F269" si="232">IF(B269=0,0,C269/B269)</f>
        <v>0</v>
      </c>
      <c r="F269" s="36">
        <f t="shared" si="232"/>
        <v>0</v>
      </c>
    </row>
    <row r="270" ht="15.75" customHeight="1">
      <c r="A270" s="35" t="s">
        <v>9</v>
      </c>
      <c r="B270" s="17">
        <f>SUM('Daily Input'!AA122:AA128)</f>
        <v>0</v>
      </c>
      <c r="C270" s="17">
        <f>SUM('Daily Input'!AB122:AB128)</f>
        <v>0</v>
      </c>
      <c r="D270" s="17">
        <f>SUM('Daily Input'!AC122:AC128)</f>
        <v>0</v>
      </c>
      <c r="E270" s="36">
        <f t="shared" ref="E270:F270" si="233">IF(B270=0,0,C270/B270)</f>
        <v>0</v>
      </c>
      <c r="F270" s="36">
        <f t="shared" si="233"/>
        <v>0</v>
      </c>
    </row>
    <row r="271" ht="15.75" customHeight="1">
      <c r="A271" s="35" t="s">
        <v>10</v>
      </c>
      <c r="B271" s="17">
        <f>SUM('Daily Input'!AD122:AD128)</f>
        <v>0</v>
      </c>
      <c r="C271" s="17">
        <f>SUM('Daily Input'!AE122:AE128)</f>
        <v>0</v>
      </c>
      <c r="D271" s="17">
        <f>SUM('Daily Input'!AF122:AF128)</f>
        <v>0</v>
      </c>
      <c r="E271" s="36">
        <f t="shared" ref="E271:F271" si="234">IF(B271=0,0,C271/B271)</f>
        <v>0</v>
      </c>
      <c r="F271" s="36">
        <f t="shared" si="234"/>
        <v>0</v>
      </c>
    </row>
    <row r="272" ht="15.75" customHeight="1">
      <c r="A272" s="35" t="s">
        <v>11</v>
      </c>
      <c r="B272" s="17">
        <f>SUM('Daily Input'!AG122:AG128)</f>
        <v>0</v>
      </c>
      <c r="C272" s="17">
        <f>SUM('Daily Input'!AH122:AH128)</f>
        <v>0</v>
      </c>
      <c r="D272" s="17">
        <f>SUM('Daily Input'!AI122:AI128)</f>
        <v>0</v>
      </c>
      <c r="E272" s="36">
        <f t="shared" ref="E272:F272" si="235">IF(B272=0,0,C272/B272)</f>
        <v>0</v>
      </c>
      <c r="F272" s="36">
        <f t="shared" si="235"/>
        <v>0</v>
      </c>
    </row>
    <row r="273" ht="15.75" customHeight="1">
      <c r="A273" s="35" t="s">
        <v>12</v>
      </c>
      <c r="B273" s="17">
        <f>SUM('Daily Input'!AJ122:AJ128)</f>
        <v>0</v>
      </c>
      <c r="C273" s="17">
        <f>SUM('Daily Input'!AK122:AK128)</f>
        <v>0</v>
      </c>
      <c r="D273" s="17">
        <f>SUM('Daily Input'!AL122:AL128)</f>
        <v>0</v>
      </c>
      <c r="E273" s="36">
        <f t="shared" ref="E273:F273" si="236">IF(B273=0,0,C273/B273)</f>
        <v>0</v>
      </c>
      <c r="F273" s="36">
        <f t="shared" si="236"/>
        <v>0</v>
      </c>
    </row>
    <row r="274" ht="15.75" customHeight="1">
      <c r="A274" s="37" t="s">
        <v>59</v>
      </c>
      <c r="B274" s="29">
        <f t="shared" ref="B274:D274" si="237">SUM(B262:B273)</f>
        <v>0</v>
      </c>
      <c r="C274" s="29">
        <f t="shared" si="237"/>
        <v>0</v>
      </c>
      <c r="D274" s="29">
        <f t="shared" si="237"/>
        <v>0</v>
      </c>
      <c r="E274" s="30">
        <f t="shared" ref="E274:F274" si="238">IF(B274=0,0,C274/B274)</f>
        <v>0</v>
      </c>
      <c r="F274" s="30">
        <f t="shared" si="238"/>
        <v>0</v>
      </c>
    </row>
    <row r="275" ht="15.75" customHeight="1"/>
    <row r="276" ht="15.75" customHeight="1">
      <c r="A276" s="33" t="s">
        <v>76</v>
      </c>
      <c r="B276" s="4"/>
      <c r="C276" s="4"/>
      <c r="D276" s="4"/>
      <c r="E276" s="4"/>
      <c r="F276" s="4"/>
      <c r="G276" s="4"/>
      <c r="H276" s="5"/>
    </row>
    <row r="277" ht="15.75" customHeight="1">
      <c r="A277" s="34" t="s">
        <v>55</v>
      </c>
      <c r="B277" s="34" t="s">
        <v>16</v>
      </c>
      <c r="C277" s="34" t="s">
        <v>17</v>
      </c>
      <c r="D277" s="34" t="s">
        <v>56</v>
      </c>
      <c r="E277" s="34" t="s">
        <v>57</v>
      </c>
      <c r="F277" s="34" t="s">
        <v>58</v>
      </c>
    </row>
    <row r="278" ht="15.75" customHeight="1">
      <c r="A278" s="35" t="s">
        <v>1</v>
      </c>
      <c r="B278" s="17">
        <f>SUM('Daily Input'!C129:C138)</f>
        <v>0</v>
      </c>
      <c r="C278" s="17">
        <f>SUM('Daily Input'!D129:D138)</f>
        <v>0</v>
      </c>
      <c r="D278" s="17">
        <f>SUM('Daily Input'!E129:E138)</f>
        <v>0</v>
      </c>
      <c r="E278" s="36">
        <f t="shared" ref="E278:F278" si="239">IF(B278=0,0,C278/B278)</f>
        <v>0</v>
      </c>
      <c r="F278" s="36">
        <f t="shared" si="239"/>
        <v>0</v>
      </c>
    </row>
    <row r="279" ht="15.75" customHeight="1">
      <c r="A279" s="35" t="s">
        <v>2</v>
      </c>
      <c r="B279" s="17">
        <f>SUM('Daily Input'!F129:F138)</f>
        <v>0</v>
      </c>
      <c r="C279" s="17">
        <f>SUM('Daily Input'!G129:G138)</f>
        <v>0</v>
      </c>
      <c r="D279" s="17">
        <f>SUM('Daily Input'!H129:H138)</f>
        <v>0</v>
      </c>
      <c r="E279" s="36">
        <f t="shared" ref="E279:F279" si="240">IF(B279=0,0,C279/B279)</f>
        <v>0</v>
      </c>
      <c r="F279" s="36">
        <f t="shared" si="240"/>
        <v>0</v>
      </c>
    </row>
    <row r="280" ht="15.75" customHeight="1">
      <c r="A280" s="35" t="s">
        <v>3</v>
      </c>
      <c r="B280" s="17">
        <f>SUM('Daily Input'!I129:I138)</f>
        <v>0</v>
      </c>
      <c r="C280" s="17">
        <f>SUM('Daily Input'!J129:J138)</f>
        <v>0</v>
      </c>
      <c r="D280" s="17">
        <f>SUM('Daily Input'!K129:K138)</f>
        <v>0</v>
      </c>
      <c r="E280" s="36">
        <f t="shared" ref="E280:F280" si="241">IF(B280=0,0,C280/B280)</f>
        <v>0</v>
      </c>
      <c r="F280" s="36">
        <f t="shared" si="241"/>
        <v>0</v>
      </c>
    </row>
    <row r="281" ht="15.75" customHeight="1">
      <c r="A281" s="35" t="s">
        <v>4</v>
      </c>
      <c r="B281" s="17">
        <f>SUM('Daily Input'!L129:L138)</f>
        <v>0</v>
      </c>
      <c r="C281" s="17">
        <f>SUM('Daily Input'!M129:M138)</f>
        <v>0</v>
      </c>
      <c r="D281" s="17">
        <f>SUM('Daily Input'!N129:N138)</f>
        <v>0</v>
      </c>
      <c r="E281" s="36">
        <f t="shared" ref="E281:F281" si="242">IF(B281=0,0,C281/B281)</f>
        <v>0</v>
      </c>
      <c r="F281" s="36">
        <f t="shared" si="242"/>
        <v>0</v>
      </c>
    </row>
    <row r="282" ht="15.75" customHeight="1">
      <c r="A282" s="35" t="s">
        <v>5</v>
      </c>
      <c r="B282" s="17">
        <f>SUM('Daily Input'!O129:O138)</f>
        <v>0</v>
      </c>
      <c r="C282" s="17">
        <f>SUM('Daily Input'!P129:P138)</f>
        <v>0</v>
      </c>
      <c r="D282" s="17">
        <f>SUM('Daily Input'!Q129:Q138)</f>
        <v>0</v>
      </c>
      <c r="E282" s="36">
        <f t="shared" ref="E282:F282" si="243">IF(B282=0,0,C282/B282)</f>
        <v>0</v>
      </c>
      <c r="F282" s="36">
        <f t="shared" si="243"/>
        <v>0</v>
      </c>
    </row>
    <row r="283" ht="15.75" customHeight="1">
      <c r="A283" s="35" t="s">
        <v>6</v>
      </c>
      <c r="B283" s="17">
        <f>SUM('Daily Input'!R129:R138)</f>
        <v>0</v>
      </c>
      <c r="C283" s="17">
        <f>SUM('Daily Input'!S129:S138)</f>
        <v>0</v>
      </c>
      <c r="D283" s="17">
        <f>SUM('Daily Input'!T129:T138)</f>
        <v>0</v>
      </c>
      <c r="E283" s="36">
        <f t="shared" ref="E283:F283" si="244">IF(B283=0,0,C283/B283)</f>
        <v>0</v>
      </c>
      <c r="F283" s="36">
        <f t="shared" si="244"/>
        <v>0</v>
      </c>
    </row>
    <row r="284" ht="15.75" customHeight="1">
      <c r="A284" s="35" t="s">
        <v>7</v>
      </c>
      <c r="B284" s="17">
        <f>SUM('Daily Input'!U129:U138)</f>
        <v>0</v>
      </c>
      <c r="C284" s="17">
        <f>SUM('Daily Input'!V129:V138)</f>
        <v>0</v>
      </c>
      <c r="D284" s="17">
        <f>SUM('Daily Input'!W129:W138)</f>
        <v>0</v>
      </c>
      <c r="E284" s="36">
        <f t="shared" ref="E284:F284" si="245">IF(B284=0,0,C284/B284)</f>
        <v>0</v>
      </c>
      <c r="F284" s="36">
        <f t="shared" si="245"/>
        <v>0</v>
      </c>
    </row>
    <row r="285" ht="15.75" customHeight="1">
      <c r="A285" s="35" t="s">
        <v>8</v>
      </c>
      <c r="B285" s="17">
        <f>SUM('Daily Input'!X129:X138)</f>
        <v>0</v>
      </c>
      <c r="C285" s="17">
        <f>SUM('Daily Input'!Y129:Y138)</f>
        <v>0</v>
      </c>
      <c r="D285" s="17">
        <f>SUM('Daily Input'!Z129:Z138)</f>
        <v>0</v>
      </c>
      <c r="E285" s="36">
        <f t="shared" ref="E285:F285" si="246">IF(B285=0,0,C285/B285)</f>
        <v>0</v>
      </c>
      <c r="F285" s="36">
        <f t="shared" si="246"/>
        <v>0</v>
      </c>
    </row>
    <row r="286" ht="15.75" customHeight="1">
      <c r="A286" s="35" t="s">
        <v>9</v>
      </c>
      <c r="B286" s="17">
        <f>SUM('Daily Input'!AA129:AA138)</f>
        <v>0</v>
      </c>
      <c r="C286" s="17">
        <f>SUM('Daily Input'!AB129:AB138)</f>
        <v>0</v>
      </c>
      <c r="D286" s="17">
        <f>SUM('Daily Input'!AC129:AC138)</f>
        <v>0</v>
      </c>
      <c r="E286" s="36">
        <f t="shared" ref="E286:F286" si="247">IF(B286=0,0,C286/B286)</f>
        <v>0</v>
      </c>
      <c r="F286" s="36">
        <f t="shared" si="247"/>
        <v>0</v>
      </c>
    </row>
    <row r="287" ht="15.75" customHeight="1">
      <c r="A287" s="35" t="s">
        <v>10</v>
      </c>
      <c r="B287" s="17">
        <f>SUM('Daily Input'!AD129:AD138)</f>
        <v>0</v>
      </c>
      <c r="C287" s="17">
        <f>SUM('Daily Input'!AE129:AE138)</f>
        <v>0</v>
      </c>
      <c r="D287" s="17">
        <f>SUM('Daily Input'!AF129:AF138)</f>
        <v>0</v>
      </c>
      <c r="E287" s="36">
        <f t="shared" ref="E287:F287" si="248">IF(B287=0,0,C287/B287)</f>
        <v>0</v>
      </c>
      <c r="F287" s="36">
        <f t="shared" si="248"/>
        <v>0</v>
      </c>
    </row>
    <row r="288" ht="15.75" customHeight="1">
      <c r="A288" s="35" t="s">
        <v>11</v>
      </c>
      <c r="B288" s="17">
        <f>SUM('Daily Input'!AG129:AG138)</f>
        <v>0</v>
      </c>
      <c r="C288" s="17">
        <f>SUM('Daily Input'!AH129:AH138)</f>
        <v>0</v>
      </c>
      <c r="D288" s="17">
        <f>SUM('Daily Input'!AI129:AI138)</f>
        <v>0</v>
      </c>
      <c r="E288" s="36">
        <f t="shared" ref="E288:F288" si="249">IF(B288=0,0,C288/B288)</f>
        <v>0</v>
      </c>
      <c r="F288" s="36">
        <f t="shared" si="249"/>
        <v>0</v>
      </c>
    </row>
    <row r="289" ht="15.75" customHeight="1">
      <c r="A289" s="35" t="s">
        <v>12</v>
      </c>
      <c r="B289" s="17">
        <f>SUM('Daily Input'!AJ129:AJ138)</f>
        <v>0</v>
      </c>
      <c r="C289" s="17">
        <f>SUM('Daily Input'!AK129:AK138)</f>
        <v>0</v>
      </c>
      <c r="D289" s="17">
        <f>SUM('Daily Input'!AL129:AL138)</f>
        <v>0</v>
      </c>
      <c r="E289" s="36">
        <f t="shared" ref="E289:F289" si="250">IF(B289=0,0,C289/B289)</f>
        <v>0</v>
      </c>
      <c r="F289" s="36">
        <f t="shared" si="250"/>
        <v>0</v>
      </c>
    </row>
    <row r="290" ht="15.75" customHeight="1">
      <c r="A290" s="37" t="s">
        <v>59</v>
      </c>
      <c r="B290" s="29">
        <f t="shared" ref="B290:D290" si="251">SUM(B278:B289)</f>
        <v>0</v>
      </c>
      <c r="C290" s="29">
        <f t="shared" si="251"/>
        <v>0</v>
      </c>
      <c r="D290" s="29">
        <f t="shared" si="251"/>
        <v>0</v>
      </c>
      <c r="E290" s="30">
        <f t="shared" ref="E290:F290" si="252">IF(B290=0,0,C290/B290)</f>
        <v>0</v>
      </c>
      <c r="F290" s="30">
        <f t="shared" si="252"/>
        <v>0</v>
      </c>
    </row>
    <row r="291" ht="15.75" customHeight="1"/>
    <row r="292" ht="15.75" customHeight="1">
      <c r="A292" s="33" t="s">
        <v>77</v>
      </c>
      <c r="B292" s="4"/>
      <c r="C292" s="4"/>
      <c r="D292" s="4"/>
      <c r="E292" s="4"/>
      <c r="F292" s="4"/>
      <c r="G292" s="4"/>
      <c r="H292" s="5"/>
    </row>
    <row r="293" ht="15.75" customHeight="1">
      <c r="A293" s="34" t="s">
        <v>55</v>
      </c>
      <c r="B293" s="34" t="s">
        <v>16</v>
      </c>
      <c r="C293" s="34" t="s">
        <v>17</v>
      </c>
      <c r="D293" s="34" t="s">
        <v>56</v>
      </c>
      <c r="E293" s="34" t="s">
        <v>57</v>
      </c>
      <c r="F293" s="34" t="s">
        <v>58</v>
      </c>
    </row>
    <row r="294" ht="15.75" customHeight="1">
      <c r="A294" s="35" t="s">
        <v>1</v>
      </c>
      <c r="B294" s="17">
        <f>SUM('Daily Input'!C139:C145)</f>
        <v>0</v>
      </c>
      <c r="C294" s="17">
        <f>SUM('Daily Input'!D139:D145)</f>
        <v>0</v>
      </c>
      <c r="D294" s="17">
        <f>SUM('Daily Input'!E139:E145)</f>
        <v>0</v>
      </c>
      <c r="E294" s="36">
        <f t="shared" ref="E294:F294" si="253">IF(B294=0,0,C294/B294)</f>
        <v>0</v>
      </c>
      <c r="F294" s="36">
        <f t="shared" si="253"/>
        <v>0</v>
      </c>
    </row>
    <row r="295" ht="15.75" customHeight="1">
      <c r="A295" s="35" t="s">
        <v>2</v>
      </c>
      <c r="B295" s="17">
        <f>SUM('Daily Input'!F139:F145)</f>
        <v>0</v>
      </c>
      <c r="C295" s="17">
        <f>SUM('Daily Input'!G139:G145)</f>
        <v>0</v>
      </c>
      <c r="D295" s="17">
        <f>SUM('Daily Input'!H139:H145)</f>
        <v>0</v>
      </c>
      <c r="E295" s="36">
        <f t="shared" ref="E295:F295" si="254">IF(B295=0,0,C295/B295)</f>
        <v>0</v>
      </c>
      <c r="F295" s="36">
        <f t="shared" si="254"/>
        <v>0</v>
      </c>
    </row>
    <row r="296" ht="15.75" customHeight="1">
      <c r="A296" s="35" t="s">
        <v>3</v>
      </c>
      <c r="B296" s="17">
        <f>SUM('Daily Input'!I139:I145)</f>
        <v>0</v>
      </c>
      <c r="C296" s="17">
        <f>SUM('Daily Input'!J139:J145)</f>
        <v>0</v>
      </c>
      <c r="D296" s="17">
        <f>SUM('Daily Input'!K139:K145)</f>
        <v>0</v>
      </c>
      <c r="E296" s="36">
        <f t="shared" ref="E296:F296" si="255">IF(B296=0,0,C296/B296)</f>
        <v>0</v>
      </c>
      <c r="F296" s="36">
        <f t="shared" si="255"/>
        <v>0</v>
      </c>
    </row>
    <row r="297" ht="15.75" customHeight="1">
      <c r="A297" s="35" t="s">
        <v>4</v>
      </c>
      <c r="B297" s="17">
        <f>SUM('Daily Input'!L139:L145)</f>
        <v>0</v>
      </c>
      <c r="C297" s="17">
        <f>SUM('Daily Input'!M139:M145)</f>
        <v>0</v>
      </c>
      <c r="D297" s="17">
        <f>SUM('Daily Input'!N139:N145)</f>
        <v>0</v>
      </c>
      <c r="E297" s="36">
        <f t="shared" ref="E297:F297" si="256">IF(B297=0,0,C297/B297)</f>
        <v>0</v>
      </c>
      <c r="F297" s="36">
        <f t="shared" si="256"/>
        <v>0</v>
      </c>
    </row>
    <row r="298" ht="15.75" customHeight="1">
      <c r="A298" s="35" t="s">
        <v>5</v>
      </c>
      <c r="B298" s="17">
        <f>SUM('Daily Input'!O139:O145)</f>
        <v>0</v>
      </c>
      <c r="C298" s="17">
        <f>SUM('Daily Input'!P139:P145)</f>
        <v>0</v>
      </c>
      <c r="D298" s="17">
        <f>SUM('Daily Input'!Q139:Q145)</f>
        <v>0</v>
      </c>
      <c r="E298" s="36">
        <f t="shared" ref="E298:F298" si="257">IF(B298=0,0,C298/B298)</f>
        <v>0</v>
      </c>
      <c r="F298" s="36">
        <f t="shared" si="257"/>
        <v>0</v>
      </c>
    </row>
    <row r="299" ht="15.75" customHeight="1">
      <c r="A299" s="35" t="s">
        <v>6</v>
      </c>
      <c r="B299" s="17">
        <f>SUM('Daily Input'!R139:R145)</f>
        <v>0</v>
      </c>
      <c r="C299" s="17">
        <f>SUM('Daily Input'!S139:S145)</f>
        <v>0</v>
      </c>
      <c r="D299" s="17">
        <f>SUM('Daily Input'!T139:T145)</f>
        <v>0</v>
      </c>
      <c r="E299" s="36">
        <f t="shared" ref="E299:F299" si="258">IF(B299=0,0,C299/B299)</f>
        <v>0</v>
      </c>
      <c r="F299" s="36">
        <f t="shared" si="258"/>
        <v>0</v>
      </c>
    </row>
    <row r="300" ht="15.75" customHeight="1">
      <c r="A300" s="35" t="s">
        <v>7</v>
      </c>
      <c r="B300" s="17">
        <f>SUM('Daily Input'!U139:U145)</f>
        <v>0</v>
      </c>
      <c r="C300" s="17">
        <f>SUM('Daily Input'!V139:V145)</f>
        <v>0</v>
      </c>
      <c r="D300" s="17">
        <f>SUM('Daily Input'!W139:W145)</f>
        <v>0</v>
      </c>
      <c r="E300" s="36">
        <f t="shared" ref="E300:F300" si="259">IF(B300=0,0,C300/B300)</f>
        <v>0</v>
      </c>
      <c r="F300" s="36">
        <f t="shared" si="259"/>
        <v>0</v>
      </c>
    </row>
    <row r="301" ht="15.75" customHeight="1">
      <c r="A301" s="35" t="s">
        <v>8</v>
      </c>
      <c r="B301" s="17">
        <f>SUM('Daily Input'!X139:X145)</f>
        <v>0</v>
      </c>
      <c r="C301" s="17">
        <f>SUM('Daily Input'!Y139:Y145)</f>
        <v>0</v>
      </c>
      <c r="D301" s="17">
        <f>SUM('Daily Input'!Z139:Z145)</f>
        <v>0</v>
      </c>
      <c r="E301" s="36">
        <f t="shared" ref="E301:F301" si="260">IF(B301=0,0,C301/B301)</f>
        <v>0</v>
      </c>
      <c r="F301" s="36">
        <f t="shared" si="260"/>
        <v>0</v>
      </c>
    </row>
    <row r="302" ht="15.75" customHeight="1">
      <c r="A302" s="35" t="s">
        <v>9</v>
      </c>
      <c r="B302" s="17">
        <f>SUM('Daily Input'!AA139:AA145)</f>
        <v>0</v>
      </c>
      <c r="C302" s="17">
        <f>SUM('Daily Input'!AB139:AB145)</f>
        <v>0</v>
      </c>
      <c r="D302" s="17">
        <f>SUM('Daily Input'!AC139:AC145)</f>
        <v>0</v>
      </c>
      <c r="E302" s="36">
        <f t="shared" ref="E302:F302" si="261">IF(B302=0,0,C302/B302)</f>
        <v>0</v>
      </c>
      <c r="F302" s="36">
        <f t="shared" si="261"/>
        <v>0</v>
      </c>
    </row>
    <row r="303" ht="15.75" customHeight="1">
      <c r="A303" s="35" t="s">
        <v>10</v>
      </c>
      <c r="B303" s="17">
        <f>SUM('Daily Input'!AD139:AD145)</f>
        <v>0</v>
      </c>
      <c r="C303" s="17">
        <f>SUM('Daily Input'!AE139:AE145)</f>
        <v>0</v>
      </c>
      <c r="D303" s="17">
        <f>SUM('Daily Input'!AF139:AF145)</f>
        <v>0</v>
      </c>
      <c r="E303" s="36">
        <f t="shared" ref="E303:F303" si="262">IF(B303=0,0,C303/B303)</f>
        <v>0</v>
      </c>
      <c r="F303" s="36">
        <f t="shared" si="262"/>
        <v>0</v>
      </c>
    </row>
    <row r="304" ht="15.75" customHeight="1">
      <c r="A304" s="35" t="s">
        <v>11</v>
      </c>
      <c r="B304" s="17">
        <f>SUM('Daily Input'!AG139:AG145)</f>
        <v>0</v>
      </c>
      <c r="C304" s="17">
        <f>SUM('Daily Input'!AH139:AH145)</f>
        <v>0</v>
      </c>
      <c r="D304" s="17">
        <f>SUM('Daily Input'!AI139:AI145)</f>
        <v>0</v>
      </c>
      <c r="E304" s="36">
        <f t="shared" ref="E304:F304" si="263">IF(B304=0,0,C304/B304)</f>
        <v>0</v>
      </c>
      <c r="F304" s="36">
        <f t="shared" si="263"/>
        <v>0</v>
      </c>
    </row>
    <row r="305" ht="15.75" customHeight="1">
      <c r="A305" s="35" t="s">
        <v>12</v>
      </c>
      <c r="B305" s="17">
        <f>SUM('Daily Input'!AJ139:AJ145)</f>
        <v>0</v>
      </c>
      <c r="C305" s="17">
        <f>SUM('Daily Input'!AK139:AK145)</f>
        <v>0</v>
      </c>
      <c r="D305" s="17">
        <f>SUM('Daily Input'!AL139:AL145)</f>
        <v>0</v>
      </c>
      <c r="E305" s="36">
        <f t="shared" ref="E305:F305" si="264">IF(B305=0,0,C305/B305)</f>
        <v>0</v>
      </c>
      <c r="F305" s="36">
        <f t="shared" si="264"/>
        <v>0</v>
      </c>
    </row>
    <row r="306" ht="15.75" customHeight="1">
      <c r="A306" s="37" t="s">
        <v>59</v>
      </c>
      <c r="B306" s="29">
        <f t="shared" ref="B306:D306" si="265">SUM(B294:B305)</f>
        <v>0</v>
      </c>
      <c r="C306" s="29">
        <f t="shared" si="265"/>
        <v>0</v>
      </c>
      <c r="D306" s="29">
        <f t="shared" si="265"/>
        <v>0</v>
      </c>
      <c r="E306" s="30">
        <f t="shared" ref="E306:F306" si="266">IF(B306=0,0,C306/B306)</f>
        <v>0</v>
      </c>
      <c r="F306" s="30">
        <f t="shared" si="266"/>
        <v>0</v>
      </c>
    </row>
    <row r="307" ht="15.75" customHeight="1"/>
    <row r="308" ht="15.75" customHeight="1">
      <c r="A308" s="33" t="s">
        <v>78</v>
      </c>
      <c r="B308" s="4"/>
      <c r="C308" s="4"/>
      <c r="D308" s="4"/>
      <c r="E308" s="4"/>
      <c r="F308" s="4"/>
      <c r="G308" s="4"/>
      <c r="H308" s="5"/>
    </row>
    <row r="309" ht="15.75" customHeight="1">
      <c r="A309" s="34" t="s">
        <v>55</v>
      </c>
      <c r="B309" s="34" t="s">
        <v>16</v>
      </c>
      <c r="C309" s="34" t="s">
        <v>17</v>
      </c>
      <c r="D309" s="34" t="s">
        <v>56</v>
      </c>
      <c r="E309" s="34" t="s">
        <v>57</v>
      </c>
      <c r="F309" s="34" t="s">
        <v>58</v>
      </c>
    </row>
    <row r="310" ht="15.75" customHeight="1">
      <c r="A310" s="35" t="s">
        <v>1</v>
      </c>
      <c r="B310" s="17">
        <f>SUM('Daily Input'!C146:C152)</f>
        <v>0</v>
      </c>
      <c r="C310" s="17">
        <f>SUM('Daily Input'!D146:D152)</f>
        <v>0</v>
      </c>
      <c r="D310" s="17">
        <f>SUM('Daily Input'!E146:E152)</f>
        <v>0</v>
      </c>
      <c r="E310" s="36">
        <f t="shared" ref="E310:F310" si="267">IF(B310=0,0,C310/B310)</f>
        <v>0</v>
      </c>
      <c r="F310" s="36">
        <f t="shared" si="267"/>
        <v>0</v>
      </c>
    </row>
    <row r="311" ht="15.75" customHeight="1">
      <c r="A311" s="35" t="s">
        <v>2</v>
      </c>
      <c r="B311" s="17">
        <f>SUM('Daily Input'!F146:F152)</f>
        <v>0</v>
      </c>
      <c r="C311" s="17">
        <f>SUM('Daily Input'!G146:G152)</f>
        <v>0</v>
      </c>
      <c r="D311" s="17">
        <f>SUM('Daily Input'!H146:H152)</f>
        <v>0</v>
      </c>
      <c r="E311" s="36">
        <f t="shared" ref="E311:F311" si="268">IF(B311=0,0,C311/B311)</f>
        <v>0</v>
      </c>
      <c r="F311" s="36">
        <f t="shared" si="268"/>
        <v>0</v>
      </c>
    </row>
    <row r="312" ht="15.75" customHeight="1">
      <c r="A312" s="35" t="s">
        <v>3</v>
      </c>
      <c r="B312" s="17">
        <f>SUM('Daily Input'!I146:I152)</f>
        <v>0</v>
      </c>
      <c r="C312" s="17">
        <f>SUM('Daily Input'!J146:J152)</f>
        <v>0</v>
      </c>
      <c r="D312" s="17">
        <f>SUM('Daily Input'!K146:K152)</f>
        <v>0</v>
      </c>
      <c r="E312" s="36">
        <f t="shared" ref="E312:F312" si="269">IF(B312=0,0,C312/B312)</f>
        <v>0</v>
      </c>
      <c r="F312" s="36">
        <f t="shared" si="269"/>
        <v>0</v>
      </c>
    </row>
    <row r="313" ht="15.75" customHeight="1">
      <c r="A313" s="35" t="s">
        <v>4</v>
      </c>
      <c r="B313" s="17">
        <f>SUM('Daily Input'!L146:L152)</f>
        <v>0</v>
      </c>
      <c r="C313" s="17">
        <f>SUM('Daily Input'!M146:M152)</f>
        <v>0</v>
      </c>
      <c r="D313" s="17">
        <f>SUM('Daily Input'!N146:N152)</f>
        <v>0</v>
      </c>
      <c r="E313" s="36">
        <f t="shared" ref="E313:F313" si="270">IF(B313=0,0,C313/B313)</f>
        <v>0</v>
      </c>
      <c r="F313" s="36">
        <f t="shared" si="270"/>
        <v>0</v>
      </c>
    </row>
    <row r="314" ht="15.75" customHeight="1">
      <c r="A314" s="35" t="s">
        <v>5</v>
      </c>
      <c r="B314" s="17">
        <f>SUM('Daily Input'!O146:O152)</f>
        <v>0</v>
      </c>
      <c r="C314" s="17">
        <f>SUM('Daily Input'!P146:P152)</f>
        <v>0</v>
      </c>
      <c r="D314" s="17">
        <f>SUM('Daily Input'!Q146:Q152)</f>
        <v>0</v>
      </c>
      <c r="E314" s="36">
        <f t="shared" ref="E314:F314" si="271">IF(B314=0,0,C314/B314)</f>
        <v>0</v>
      </c>
      <c r="F314" s="36">
        <f t="shared" si="271"/>
        <v>0</v>
      </c>
    </row>
    <row r="315" ht="15.75" customHeight="1">
      <c r="A315" s="35" t="s">
        <v>6</v>
      </c>
      <c r="B315" s="17">
        <f>SUM('Daily Input'!R146:R152)</f>
        <v>0</v>
      </c>
      <c r="C315" s="17">
        <f>SUM('Daily Input'!S146:S152)</f>
        <v>0</v>
      </c>
      <c r="D315" s="17">
        <f>SUM('Daily Input'!T146:T152)</f>
        <v>0</v>
      </c>
      <c r="E315" s="36">
        <f t="shared" ref="E315:F315" si="272">IF(B315=0,0,C315/B315)</f>
        <v>0</v>
      </c>
      <c r="F315" s="36">
        <f t="shared" si="272"/>
        <v>0</v>
      </c>
    </row>
    <row r="316" ht="15.75" customHeight="1">
      <c r="A316" s="35" t="s">
        <v>7</v>
      </c>
      <c r="B316" s="17">
        <f>SUM('Daily Input'!U146:U152)</f>
        <v>0</v>
      </c>
      <c r="C316" s="17">
        <f>SUM('Daily Input'!V146:V152)</f>
        <v>0</v>
      </c>
      <c r="D316" s="17">
        <f>SUM('Daily Input'!W146:W152)</f>
        <v>0</v>
      </c>
      <c r="E316" s="36">
        <f t="shared" ref="E316:F316" si="273">IF(B316=0,0,C316/B316)</f>
        <v>0</v>
      </c>
      <c r="F316" s="36">
        <f t="shared" si="273"/>
        <v>0</v>
      </c>
    </row>
    <row r="317" ht="15.75" customHeight="1">
      <c r="A317" s="35" t="s">
        <v>8</v>
      </c>
      <c r="B317" s="17">
        <f>SUM('Daily Input'!X146:X152)</f>
        <v>0</v>
      </c>
      <c r="C317" s="17">
        <f>SUM('Daily Input'!Y146:Y152)</f>
        <v>0</v>
      </c>
      <c r="D317" s="17">
        <f>SUM('Daily Input'!Z146:Z152)</f>
        <v>0</v>
      </c>
      <c r="E317" s="36">
        <f t="shared" ref="E317:F317" si="274">IF(B317=0,0,C317/B317)</f>
        <v>0</v>
      </c>
      <c r="F317" s="36">
        <f t="shared" si="274"/>
        <v>0</v>
      </c>
    </row>
    <row r="318" ht="15.75" customHeight="1">
      <c r="A318" s="35" t="s">
        <v>9</v>
      </c>
      <c r="B318" s="17">
        <f>SUM('Daily Input'!AA146:AA152)</f>
        <v>0</v>
      </c>
      <c r="C318" s="17">
        <f>SUM('Daily Input'!AB146:AB152)</f>
        <v>0</v>
      </c>
      <c r="D318" s="17">
        <f>SUM('Daily Input'!AC146:AC152)</f>
        <v>0</v>
      </c>
      <c r="E318" s="36">
        <f t="shared" ref="E318:F318" si="275">IF(B318=0,0,C318/B318)</f>
        <v>0</v>
      </c>
      <c r="F318" s="36">
        <f t="shared" si="275"/>
        <v>0</v>
      </c>
    </row>
    <row r="319" ht="15.75" customHeight="1">
      <c r="A319" s="35" t="s">
        <v>10</v>
      </c>
      <c r="B319" s="17">
        <f>SUM('Daily Input'!AD146:AD152)</f>
        <v>0</v>
      </c>
      <c r="C319" s="17">
        <f>SUM('Daily Input'!AE146:AE152)</f>
        <v>0</v>
      </c>
      <c r="D319" s="17">
        <f>SUM('Daily Input'!AF146:AF152)</f>
        <v>0</v>
      </c>
      <c r="E319" s="36">
        <f t="shared" ref="E319:F319" si="276">IF(B319=0,0,C319/B319)</f>
        <v>0</v>
      </c>
      <c r="F319" s="36">
        <f t="shared" si="276"/>
        <v>0</v>
      </c>
    </row>
    <row r="320" ht="15.75" customHeight="1">
      <c r="A320" s="35" t="s">
        <v>11</v>
      </c>
      <c r="B320" s="17">
        <f>SUM('Daily Input'!AG146:AG152)</f>
        <v>0</v>
      </c>
      <c r="C320" s="17">
        <f>SUM('Daily Input'!AH146:AH152)</f>
        <v>0</v>
      </c>
      <c r="D320" s="17">
        <f>SUM('Daily Input'!AI146:AI152)</f>
        <v>0</v>
      </c>
      <c r="E320" s="36">
        <f t="shared" ref="E320:F320" si="277">IF(B320=0,0,C320/B320)</f>
        <v>0</v>
      </c>
      <c r="F320" s="36">
        <f t="shared" si="277"/>
        <v>0</v>
      </c>
    </row>
    <row r="321" ht="15.75" customHeight="1">
      <c r="A321" s="35" t="s">
        <v>12</v>
      </c>
      <c r="B321" s="17">
        <f>SUM('Daily Input'!AJ146:AJ152)</f>
        <v>0</v>
      </c>
      <c r="C321" s="17">
        <f>SUM('Daily Input'!AK146:AK152)</f>
        <v>0</v>
      </c>
      <c r="D321" s="17">
        <f>SUM('Daily Input'!AL146:AL152)</f>
        <v>0</v>
      </c>
      <c r="E321" s="36">
        <f t="shared" ref="E321:F321" si="278">IF(B321=0,0,C321/B321)</f>
        <v>0</v>
      </c>
      <c r="F321" s="36">
        <f t="shared" si="278"/>
        <v>0</v>
      </c>
    </row>
    <row r="322" ht="15.75" customHeight="1">
      <c r="A322" s="37" t="s">
        <v>59</v>
      </c>
      <c r="B322" s="29">
        <f t="shared" ref="B322:D322" si="279">SUM(B310:B321)</f>
        <v>0</v>
      </c>
      <c r="C322" s="29">
        <f t="shared" si="279"/>
        <v>0</v>
      </c>
      <c r="D322" s="29">
        <f t="shared" si="279"/>
        <v>0</v>
      </c>
      <c r="E322" s="30">
        <f t="shared" ref="E322:F322" si="280">IF(B322=0,0,C322/B322)</f>
        <v>0</v>
      </c>
      <c r="F322" s="30">
        <f t="shared" si="280"/>
        <v>0</v>
      </c>
    </row>
    <row r="323" ht="15.75" customHeight="1"/>
    <row r="324" ht="15.75" customHeight="1">
      <c r="A324" s="33" t="s">
        <v>79</v>
      </c>
      <c r="B324" s="4"/>
      <c r="C324" s="4"/>
      <c r="D324" s="4"/>
      <c r="E324" s="4"/>
      <c r="F324" s="4"/>
      <c r="G324" s="4"/>
      <c r="H324" s="5"/>
    </row>
    <row r="325" ht="15.75" customHeight="1">
      <c r="A325" s="34" t="s">
        <v>55</v>
      </c>
      <c r="B325" s="34" t="s">
        <v>16</v>
      </c>
      <c r="C325" s="34" t="s">
        <v>17</v>
      </c>
      <c r="D325" s="34" t="s">
        <v>56</v>
      </c>
      <c r="E325" s="34" t="s">
        <v>57</v>
      </c>
      <c r="F325" s="34" t="s">
        <v>58</v>
      </c>
    </row>
    <row r="326" ht="15.75" customHeight="1">
      <c r="A326" s="35" t="s">
        <v>1</v>
      </c>
      <c r="B326" s="17">
        <f>SUM('Daily Input'!C153:C159)</f>
        <v>0</v>
      </c>
      <c r="C326" s="17">
        <f>SUM('Daily Input'!D153:D159)</f>
        <v>0</v>
      </c>
      <c r="D326" s="17">
        <f>SUM('Daily Input'!E153:E159)</f>
        <v>0</v>
      </c>
      <c r="E326" s="36">
        <f t="shared" ref="E326:F326" si="281">IF(B326=0,0,C326/B326)</f>
        <v>0</v>
      </c>
      <c r="F326" s="36">
        <f t="shared" si="281"/>
        <v>0</v>
      </c>
    </row>
    <row r="327" ht="15.75" customHeight="1">
      <c r="A327" s="35" t="s">
        <v>2</v>
      </c>
      <c r="B327" s="17">
        <f>SUM('Daily Input'!F153:F159)</f>
        <v>0</v>
      </c>
      <c r="C327" s="17">
        <f>SUM('Daily Input'!G153:G159)</f>
        <v>0</v>
      </c>
      <c r="D327" s="17">
        <f>SUM('Daily Input'!H153:H159)</f>
        <v>0</v>
      </c>
      <c r="E327" s="36">
        <f t="shared" ref="E327:F327" si="282">IF(B327=0,0,C327/B327)</f>
        <v>0</v>
      </c>
      <c r="F327" s="36">
        <f t="shared" si="282"/>
        <v>0</v>
      </c>
    </row>
    <row r="328" ht="15.75" customHeight="1">
      <c r="A328" s="35" t="s">
        <v>3</v>
      </c>
      <c r="B328" s="17">
        <f>SUM('Daily Input'!I153:I159)</f>
        <v>0</v>
      </c>
      <c r="C328" s="17">
        <f>SUM('Daily Input'!J153:J159)</f>
        <v>0</v>
      </c>
      <c r="D328" s="17">
        <f>SUM('Daily Input'!K153:K159)</f>
        <v>0</v>
      </c>
      <c r="E328" s="36">
        <f t="shared" ref="E328:F328" si="283">IF(B328=0,0,C328/B328)</f>
        <v>0</v>
      </c>
      <c r="F328" s="36">
        <f t="shared" si="283"/>
        <v>0</v>
      </c>
    </row>
    <row r="329" ht="15.75" customHeight="1">
      <c r="A329" s="35" t="s">
        <v>4</v>
      </c>
      <c r="B329" s="17">
        <f>SUM('Daily Input'!L153:L159)</f>
        <v>0</v>
      </c>
      <c r="C329" s="17">
        <f>SUM('Daily Input'!M153:M159)</f>
        <v>0</v>
      </c>
      <c r="D329" s="17">
        <f>SUM('Daily Input'!N153:N159)</f>
        <v>0</v>
      </c>
      <c r="E329" s="36">
        <f t="shared" ref="E329:F329" si="284">IF(B329=0,0,C329/B329)</f>
        <v>0</v>
      </c>
      <c r="F329" s="36">
        <f t="shared" si="284"/>
        <v>0</v>
      </c>
    </row>
    <row r="330" ht="15.75" customHeight="1">
      <c r="A330" s="35" t="s">
        <v>5</v>
      </c>
      <c r="B330" s="17">
        <f>SUM('Daily Input'!O153:O159)</f>
        <v>0</v>
      </c>
      <c r="C330" s="17">
        <f>SUM('Daily Input'!P153:P159)</f>
        <v>0</v>
      </c>
      <c r="D330" s="17">
        <f>SUM('Daily Input'!Q153:Q159)</f>
        <v>0</v>
      </c>
      <c r="E330" s="36">
        <f t="shared" ref="E330:F330" si="285">IF(B330=0,0,C330/B330)</f>
        <v>0</v>
      </c>
      <c r="F330" s="36">
        <f t="shared" si="285"/>
        <v>0</v>
      </c>
    </row>
    <row r="331" ht="15.75" customHeight="1">
      <c r="A331" s="35" t="s">
        <v>6</v>
      </c>
      <c r="B331" s="17">
        <f>SUM('Daily Input'!R153:R159)</f>
        <v>0</v>
      </c>
      <c r="C331" s="17">
        <f>SUM('Daily Input'!S153:S159)</f>
        <v>0</v>
      </c>
      <c r="D331" s="17">
        <f>SUM('Daily Input'!T153:T159)</f>
        <v>0</v>
      </c>
      <c r="E331" s="36">
        <f t="shared" ref="E331:F331" si="286">IF(B331=0,0,C331/B331)</f>
        <v>0</v>
      </c>
      <c r="F331" s="36">
        <f t="shared" si="286"/>
        <v>0</v>
      </c>
    </row>
    <row r="332" ht="15.75" customHeight="1">
      <c r="A332" s="35" t="s">
        <v>7</v>
      </c>
      <c r="B332" s="17">
        <f>SUM('Daily Input'!U153:U159)</f>
        <v>0</v>
      </c>
      <c r="C332" s="17">
        <f>SUM('Daily Input'!V153:V159)</f>
        <v>0</v>
      </c>
      <c r="D332" s="17">
        <f>SUM('Daily Input'!W153:W159)</f>
        <v>0</v>
      </c>
      <c r="E332" s="36">
        <f t="shared" ref="E332:F332" si="287">IF(B332=0,0,C332/B332)</f>
        <v>0</v>
      </c>
      <c r="F332" s="36">
        <f t="shared" si="287"/>
        <v>0</v>
      </c>
    </row>
    <row r="333" ht="15.75" customHeight="1">
      <c r="A333" s="35" t="s">
        <v>8</v>
      </c>
      <c r="B333" s="17">
        <f>SUM('Daily Input'!X153:X159)</f>
        <v>0</v>
      </c>
      <c r="C333" s="17">
        <f>SUM('Daily Input'!Y153:Y159)</f>
        <v>0</v>
      </c>
      <c r="D333" s="17">
        <f>SUM('Daily Input'!Z153:Z159)</f>
        <v>0</v>
      </c>
      <c r="E333" s="36">
        <f t="shared" ref="E333:F333" si="288">IF(B333=0,0,C333/B333)</f>
        <v>0</v>
      </c>
      <c r="F333" s="36">
        <f t="shared" si="288"/>
        <v>0</v>
      </c>
    </row>
    <row r="334" ht="15.75" customHeight="1">
      <c r="A334" s="35" t="s">
        <v>9</v>
      </c>
      <c r="B334" s="17">
        <f>SUM('Daily Input'!AA153:AA159)</f>
        <v>0</v>
      </c>
      <c r="C334" s="17">
        <f>SUM('Daily Input'!AB153:AB159)</f>
        <v>0</v>
      </c>
      <c r="D334" s="17">
        <f>SUM('Daily Input'!AC153:AC159)</f>
        <v>0</v>
      </c>
      <c r="E334" s="36">
        <f t="shared" ref="E334:F334" si="289">IF(B334=0,0,C334/B334)</f>
        <v>0</v>
      </c>
      <c r="F334" s="36">
        <f t="shared" si="289"/>
        <v>0</v>
      </c>
    </row>
    <row r="335" ht="15.75" customHeight="1">
      <c r="A335" s="35" t="s">
        <v>10</v>
      </c>
      <c r="B335" s="17">
        <f>SUM('Daily Input'!AD153:AD159)</f>
        <v>0</v>
      </c>
      <c r="C335" s="17">
        <f>SUM('Daily Input'!AE153:AE159)</f>
        <v>0</v>
      </c>
      <c r="D335" s="17">
        <f>SUM('Daily Input'!AF153:AF159)</f>
        <v>0</v>
      </c>
      <c r="E335" s="36">
        <f t="shared" ref="E335:F335" si="290">IF(B335=0,0,C335/B335)</f>
        <v>0</v>
      </c>
      <c r="F335" s="36">
        <f t="shared" si="290"/>
        <v>0</v>
      </c>
    </row>
    <row r="336" ht="15.75" customHeight="1">
      <c r="A336" s="35" t="s">
        <v>11</v>
      </c>
      <c r="B336" s="17">
        <f>SUM('Daily Input'!AG153:AG159)</f>
        <v>0</v>
      </c>
      <c r="C336" s="17">
        <f>SUM('Daily Input'!AH153:AH159)</f>
        <v>0</v>
      </c>
      <c r="D336" s="17">
        <f>SUM('Daily Input'!AI153:AI159)</f>
        <v>0</v>
      </c>
      <c r="E336" s="36">
        <f t="shared" ref="E336:F336" si="291">IF(B336=0,0,C336/B336)</f>
        <v>0</v>
      </c>
      <c r="F336" s="36">
        <f t="shared" si="291"/>
        <v>0</v>
      </c>
    </row>
    <row r="337" ht="15.75" customHeight="1">
      <c r="A337" s="35" t="s">
        <v>12</v>
      </c>
      <c r="B337" s="17">
        <f>SUM('Daily Input'!AJ153:AJ159)</f>
        <v>0</v>
      </c>
      <c r="C337" s="17">
        <f>SUM('Daily Input'!AK153:AK159)</f>
        <v>0</v>
      </c>
      <c r="D337" s="17">
        <f>SUM('Daily Input'!AL153:AL159)</f>
        <v>0</v>
      </c>
      <c r="E337" s="36">
        <f t="shared" ref="E337:F337" si="292">IF(B337=0,0,C337/B337)</f>
        <v>0</v>
      </c>
      <c r="F337" s="36">
        <f t="shared" si="292"/>
        <v>0</v>
      </c>
    </row>
    <row r="338" ht="15.75" customHeight="1">
      <c r="A338" s="37" t="s">
        <v>59</v>
      </c>
      <c r="B338" s="29">
        <f t="shared" ref="B338:D338" si="293">SUM(B326:B337)</f>
        <v>0</v>
      </c>
      <c r="C338" s="29">
        <f t="shared" si="293"/>
        <v>0</v>
      </c>
      <c r="D338" s="29">
        <f t="shared" si="293"/>
        <v>0</v>
      </c>
      <c r="E338" s="30">
        <f t="shared" ref="E338:F338" si="294">IF(B338=0,0,C338/B338)</f>
        <v>0</v>
      </c>
      <c r="F338" s="30">
        <f t="shared" si="294"/>
        <v>0</v>
      </c>
    </row>
    <row r="339" ht="15.75" customHeight="1"/>
    <row r="340" ht="15.75" customHeight="1">
      <c r="A340" s="33" t="s">
        <v>80</v>
      </c>
      <c r="B340" s="4"/>
      <c r="C340" s="4"/>
      <c r="D340" s="4"/>
      <c r="E340" s="4"/>
      <c r="F340" s="4"/>
      <c r="G340" s="4"/>
      <c r="H340" s="5"/>
    </row>
    <row r="341" ht="15.75" customHeight="1">
      <c r="A341" s="34" t="s">
        <v>55</v>
      </c>
      <c r="B341" s="34" t="s">
        <v>16</v>
      </c>
      <c r="C341" s="34" t="s">
        <v>17</v>
      </c>
      <c r="D341" s="34" t="s">
        <v>56</v>
      </c>
      <c r="E341" s="34" t="s">
        <v>57</v>
      </c>
      <c r="F341" s="34" t="s">
        <v>58</v>
      </c>
    </row>
    <row r="342" ht="15.75" customHeight="1">
      <c r="A342" s="35" t="s">
        <v>1</v>
      </c>
      <c r="B342" s="17">
        <f>SUM('Daily Input'!C160:C166)</f>
        <v>0</v>
      </c>
      <c r="C342" s="17">
        <f>SUM('Daily Input'!D160:D166)</f>
        <v>0</v>
      </c>
      <c r="D342" s="17">
        <f>SUM('Daily Input'!E160:E166)</f>
        <v>0</v>
      </c>
      <c r="E342" s="36">
        <f t="shared" ref="E342:F342" si="295">IF(B342=0,0,C342/B342)</f>
        <v>0</v>
      </c>
      <c r="F342" s="36">
        <f t="shared" si="295"/>
        <v>0</v>
      </c>
    </row>
    <row r="343" ht="15.75" customHeight="1">
      <c r="A343" s="35" t="s">
        <v>2</v>
      </c>
      <c r="B343" s="17">
        <f>SUM('Daily Input'!F160:F166)</f>
        <v>0</v>
      </c>
      <c r="C343" s="17">
        <f>SUM('Daily Input'!G160:G166)</f>
        <v>0</v>
      </c>
      <c r="D343" s="17">
        <f>SUM('Daily Input'!H160:H166)</f>
        <v>0</v>
      </c>
      <c r="E343" s="36">
        <f t="shared" ref="E343:F343" si="296">IF(B343=0,0,C343/B343)</f>
        <v>0</v>
      </c>
      <c r="F343" s="36">
        <f t="shared" si="296"/>
        <v>0</v>
      </c>
    </row>
    <row r="344" ht="15.75" customHeight="1">
      <c r="A344" s="35" t="s">
        <v>3</v>
      </c>
      <c r="B344" s="17">
        <f>SUM('Daily Input'!I160:I166)</f>
        <v>0</v>
      </c>
      <c r="C344" s="17">
        <f>SUM('Daily Input'!J160:J166)</f>
        <v>0</v>
      </c>
      <c r="D344" s="17">
        <f>SUM('Daily Input'!K160:K166)</f>
        <v>0</v>
      </c>
      <c r="E344" s="36">
        <f t="shared" ref="E344:F344" si="297">IF(B344=0,0,C344/B344)</f>
        <v>0</v>
      </c>
      <c r="F344" s="36">
        <f t="shared" si="297"/>
        <v>0</v>
      </c>
    </row>
    <row r="345" ht="15.75" customHeight="1">
      <c r="A345" s="35" t="s">
        <v>4</v>
      </c>
      <c r="B345" s="17">
        <f>SUM('Daily Input'!L160:L166)</f>
        <v>0</v>
      </c>
      <c r="C345" s="17">
        <f>SUM('Daily Input'!M160:M166)</f>
        <v>0</v>
      </c>
      <c r="D345" s="17">
        <f>SUM('Daily Input'!N160:N166)</f>
        <v>0</v>
      </c>
      <c r="E345" s="36">
        <f t="shared" ref="E345:F345" si="298">IF(B345=0,0,C345/B345)</f>
        <v>0</v>
      </c>
      <c r="F345" s="36">
        <f t="shared" si="298"/>
        <v>0</v>
      </c>
    </row>
    <row r="346" ht="15.75" customHeight="1">
      <c r="A346" s="35" t="s">
        <v>5</v>
      </c>
      <c r="B346" s="17">
        <f>SUM('Daily Input'!O160:O166)</f>
        <v>0</v>
      </c>
      <c r="C346" s="17">
        <f>SUM('Daily Input'!P160:P166)</f>
        <v>0</v>
      </c>
      <c r="D346" s="17">
        <f>SUM('Daily Input'!Q160:Q166)</f>
        <v>0</v>
      </c>
      <c r="E346" s="36">
        <f t="shared" ref="E346:F346" si="299">IF(B346=0,0,C346/B346)</f>
        <v>0</v>
      </c>
      <c r="F346" s="36">
        <f t="shared" si="299"/>
        <v>0</v>
      </c>
    </row>
    <row r="347" ht="15.75" customHeight="1">
      <c r="A347" s="35" t="s">
        <v>6</v>
      </c>
      <c r="B347" s="17">
        <f>SUM('Daily Input'!R160:R166)</f>
        <v>0</v>
      </c>
      <c r="C347" s="17">
        <f>SUM('Daily Input'!S160:S166)</f>
        <v>0</v>
      </c>
      <c r="D347" s="17">
        <f>SUM('Daily Input'!T160:T166)</f>
        <v>0</v>
      </c>
      <c r="E347" s="36">
        <f t="shared" ref="E347:F347" si="300">IF(B347=0,0,C347/B347)</f>
        <v>0</v>
      </c>
      <c r="F347" s="36">
        <f t="shared" si="300"/>
        <v>0</v>
      </c>
    </row>
    <row r="348" ht="15.75" customHeight="1">
      <c r="A348" s="35" t="s">
        <v>7</v>
      </c>
      <c r="B348" s="17">
        <f>SUM('Daily Input'!U160:U166)</f>
        <v>0</v>
      </c>
      <c r="C348" s="17">
        <f>SUM('Daily Input'!V160:V166)</f>
        <v>0</v>
      </c>
      <c r="D348" s="17">
        <f>SUM('Daily Input'!W160:W166)</f>
        <v>0</v>
      </c>
      <c r="E348" s="36">
        <f t="shared" ref="E348:F348" si="301">IF(B348=0,0,C348/B348)</f>
        <v>0</v>
      </c>
      <c r="F348" s="36">
        <f t="shared" si="301"/>
        <v>0</v>
      </c>
    </row>
    <row r="349" ht="15.75" customHeight="1">
      <c r="A349" s="35" t="s">
        <v>8</v>
      </c>
      <c r="B349" s="17">
        <f>SUM('Daily Input'!X160:X166)</f>
        <v>0</v>
      </c>
      <c r="C349" s="17">
        <f>SUM('Daily Input'!Y160:Y166)</f>
        <v>0</v>
      </c>
      <c r="D349" s="17">
        <f>SUM('Daily Input'!Z160:Z166)</f>
        <v>0</v>
      </c>
      <c r="E349" s="36">
        <f t="shared" ref="E349:F349" si="302">IF(B349=0,0,C349/B349)</f>
        <v>0</v>
      </c>
      <c r="F349" s="36">
        <f t="shared" si="302"/>
        <v>0</v>
      </c>
    </row>
    <row r="350" ht="15.75" customHeight="1">
      <c r="A350" s="35" t="s">
        <v>9</v>
      </c>
      <c r="B350" s="17">
        <f>SUM('Daily Input'!AA160:AA166)</f>
        <v>0</v>
      </c>
      <c r="C350" s="17">
        <f>SUM('Daily Input'!AB160:AB166)</f>
        <v>0</v>
      </c>
      <c r="D350" s="17">
        <f>SUM('Daily Input'!AC160:AC166)</f>
        <v>0</v>
      </c>
      <c r="E350" s="36">
        <f t="shared" ref="E350:F350" si="303">IF(B350=0,0,C350/B350)</f>
        <v>0</v>
      </c>
      <c r="F350" s="36">
        <f t="shared" si="303"/>
        <v>0</v>
      </c>
    </row>
    <row r="351" ht="15.75" customHeight="1">
      <c r="A351" s="35" t="s">
        <v>10</v>
      </c>
      <c r="B351" s="17">
        <f>SUM('Daily Input'!AD160:AD166)</f>
        <v>0</v>
      </c>
      <c r="C351" s="17">
        <f>SUM('Daily Input'!AE160:AE166)</f>
        <v>0</v>
      </c>
      <c r="D351" s="17">
        <f>SUM('Daily Input'!AF160:AF166)</f>
        <v>0</v>
      </c>
      <c r="E351" s="36">
        <f t="shared" ref="E351:F351" si="304">IF(B351=0,0,C351/B351)</f>
        <v>0</v>
      </c>
      <c r="F351" s="36">
        <f t="shared" si="304"/>
        <v>0</v>
      </c>
    </row>
    <row r="352" ht="15.75" customHeight="1">
      <c r="A352" s="35" t="s">
        <v>11</v>
      </c>
      <c r="B352" s="17">
        <f>SUM('Daily Input'!AG160:AG166)</f>
        <v>0</v>
      </c>
      <c r="C352" s="17">
        <f>SUM('Daily Input'!AH160:AH166)</f>
        <v>0</v>
      </c>
      <c r="D352" s="17">
        <f>SUM('Daily Input'!AI160:AI166)</f>
        <v>0</v>
      </c>
      <c r="E352" s="36">
        <f t="shared" ref="E352:F352" si="305">IF(B352=0,0,C352/B352)</f>
        <v>0</v>
      </c>
      <c r="F352" s="36">
        <f t="shared" si="305"/>
        <v>0</v>
      </c>
    </row>
    <row r="353" ht="15.75" customHeight="1">
      <c r="A353" s="35" t="s">
        <v>12</v>
      </c>
      <c r="B353" s="17">
        <f>SUM('Daily Input'!AJ160:AJ166)</f>
        <v>0</v>
      </c>
      <c r="C353" s="17">
        <f>SUM('Daily Input'!AK160:AK166)</f>
        <v>0</v>
      </c>
      <c r="D353" s="17">
        <f>SUM('Daily Input'!AL160:AL166)</f>
        <v>0</v>
      </c>
      <c r="E353" s="36">
        <f t="shared" ref="E353:F353" si="306">IF(B353=0,0,C353/B353)</f>
        <v>0</v>
      </c>
      <c r="F353" s="36">
        <f t="shared" si="306"/>
        <v>0</v>
      </c>
    </row>
    <row r="354" ht="15.75" customHeight="1">
      <c r="A354" s="37" t="s">
        <v>59</v>
      </c>
      <c r="B354" s="29">
        <f t="shared" ref="B354:D354" si="307">SUM(B342:B353)</f>
        <v>0</v>
      </c>
      <c r="C354" s="29">
        <f t="shared" si="307"/>
        <v>0</v>
      </c>
      <c r="D354" s="29">
        <f t="shared" si="307"/>
        <v>0</v>
      </c>
      <c r="E354" s="30">
        <f t="shared" ref="E354:F354" si="308">IF(B354=0,0,C354/B354)</f>
        <v>0</v>
      </c>
      <c r="F354" s="30">
        <f t="shared" si="308"/>
        <v>0</v>
      </c>
    </row>
    <row r="355" ht="15.75" customHeight="1"/>
    <row r="356" ht="15.75" customHeight="1">
      <c r="A356" s="33" t="s">
        <v>81</v>
      </c>
      <c r="B356" s="4"/>
      <c r="C356" s="4"/>
      <c r="D356" s="4"/>
      <c r="E356" s="4"/>
      <c r="F356" s="4"/>
      <c r="G356" s="4"/>
      <c r="H356" s="5"/>
    </row>
    <row r="357" ht="15.75" customHeight="1">
      <c r="A357" s="34" t="s">
        <v>55</v>
      </c>
      <c r="B357" s="34" t="s">
        <v>16</v>
      </c>
      <c r="C357" s="34" t="s">
        <v>17</v>
      </c>
      <c r="D357" s="34" t="s">
        <v>56</v>
      </c>
      <c r="E357" s="34" t="s">
        <v>57</v>
      </c>
      <c r="F357" s="34" t="s">
        <v>58</v>
      </c>
    </row>
    <row r="358" ht="15.75" customHeight="1">
      <c r="A358" s="35" t="s">
        <v>1</v>
      </c>
      <c r="B358" s="17">
        <f>SUM('Daily Input'!C170:C176)</f>
        <v>0</v>
      </c>
      <c r="C358" s="17">
        <f>SUM('Daily Input'!D170:D176)</f>
        <v>0</v>
      </c>
      <c r="D358" s="17">
        <f>SUM('Daily Input'!E170:E176)</f>
        <v>0</v>
      </c>
      <c r="E358" s="36">
        <f t="shared" ref="E358:F358" si="309">IF(B358=0,0,C358/B358)</f>
        <v>0</v>
      </c>
      <c r="F358" s="36">
        <f t="shared" si="309"/>
        <v>0</v>
      </c>
    </row>
    <row r="359" ht="15.75" customHeight="1">
      <c r="A359" s="35" t="s">
        <v>2</v>
      </c>
      <c r="B359" s="17">
        <f>SUM('Daily Input'!F170:F176)</f>
        <v>0</v>
      </c>
      <c r="C359" s="17">
        <f>SUM('Daily Input'!G170:G176)</f>
        <v>0</v>
      </c>
      <c r="D359" s="17">
        <f>SUM('Daily Input'!H170:H176)</f>
        <v>0</v>
      </c>
      <c r="E359" s="36">
        <f t="shared" ref="E359:F359" si="310">IF(B359=0,0,C359/B359)</f>
        <v>0</v>
      </c>
      <c r="F359" s="36">
        <f t="shared" si="310"/>
        <v>0</v>
      </c>
    </row>
    <row r="360" ht="15.75" customHeight="1">
      <c r="A360" s="35" t="s">
        <v>3</v>
      </c>
      <c r="B360" s="17">
        <f>SUM('Daily Input'!I170:I176)</f>
        <v>0</v>
      </c>
      <c r="C360" s="17">
        <f>SUM('Daily Input'!J170:J176)</f>
        <v>0</v>
      </c>
      <c r="D360" s="17">
        <f>SUM('Daily Input'!K170:K176)</f>
        <v>0</v>
      </c>
      <c r="E360" s="36">
        <f t="shared" ref="E360:F360" si="311">IF(B360=0,0,C360/B360)</f>
        <v>0</v>
      </c>
      <c r="F360" s="36">
        <f t="shared" si="311"/>
        <v>0</v>
      </c>
    </row>
    <row r="361" ht="15.75" customHeight="1">
      <c r="A361" s="35" t="s">
        <v>4</v>
      </c>
      <c r="B361" s="17">
        <f>SUM('Daily Input'!L170:L176)</f>
        <v>0</v>
      </c>
      <c r="C361" s="17">
        <f>SUM('Daily Input'!M170:M176)</f>
        <v>0</v>
      </c>
      <c r="D361" s="17">
        <f>SUM('Daily Input'!N170:N176)</f>
        <v>0</v>
      </c>
      <c r="E361" s="36">
        <f t="shared" ref="E361:F361" si="312">IF(B361=0,0,C361/B361)</f>
        <v>0</v>
      </c>
      <c r="F361" s="36">
        <f t="shared" si="312"/>
        <v>0</v>
      </c>
    </row>
    <row r="362" ht="15.75" customHeight="1">
      <c r="A362" s="35" t="s">
        <v>5</v>
      </c>
      <c r="B362" s="17">
        <f>SUM('Daily Input'!O170:O176)</f>
        <v>0</v>
      </c>
      <c r="C362" s="17">
        <f>SUM('Daily Input'!P170:P176)</f>
        <v>0</v>
      </c>
      <c r="D362" s="17">
        <f>SUM('Daily Input'!Q170:Q176)</f>
        <v>0</v>
      </c>
      <c r="E362" s="36">
        <f t="shared" ref="E362:F362" si="313">IF(B362=0,0,C362/B362)</f>
        <v>0</v>
      </c>
      <c r="F362" s="36">
        <f t="shared" si="313"/>
        <v>0</v>
      </c>
    </row>
    <row r="363" ht="15.75" customHeight="1">
      <c r="A363" s="35" t="s">
        <v>6</v>
      </c>
      <c r="B363" s="17">
        <f>SUM('Daily Input'!R170:R176)</f>
        <v>0</v>
      </c>
      <c r="C363" s="17">
        <f>SUM('Daily Input'!S170:S176)</f>
        <v>0</v>
      </c>
      <c r="D363" s="17">
        <f>SUM('Daily Input'!T170:T176)</f>
        <v>0</v>
      </c>
      <c r="E363" s="36">
        <f t="shared" ref="E363:F363" si="314">IF(B363=0,0,C363/B363)</f>
        <v>0</v>
      </c>
      <c r="F363" s="36">
        <f t="shared" si="314"/>
        <v>0</v>
      </c>
    </row>
    <row r="364" ht="15.75" customHeight="1">
      <c r="A364" s="35" t="s">
        <v>7</v>
      </c>
      <c r="B364" s="17">
        <f>SUM('Daily Input'!U170:U176)</f>
        <v>0</v>
      </c>
      <c r="C364" s="17">
        <f>SUM('Daily Input'!V170:V176)</f>
        <v>0</v>
      </c>
      <c r="D364" s="17">
        <f>SUM('Daily Input'!W170:W176)</f>
        <v>0</v>
      </c>
      <c r="E364" s="36">
        <f t="shared" ref="E364:F364" si="315">IF(B364=0,0,C364/B364)</f>
        <v>0</v>
      </c>
      <c r="F364" s="36">
        <f t="shared" si="315"/>
        <v>0</v>
      </c>
    </row>
    <row r="365" ht="15.75" customHeight="1">
      <c r="A365" s="35" t="s">
        <v>8</v>
      </c>
      <c r="B365" s="17">
        <f>SUM('Daily Input'!X170:X176)</f>
        <v>0</v>
      </c>
      <c r="C365" s="17">
        <f>SUM('Daily Input'!Y170:Y176)</f>
        <v>0</v>
      </c>
      <c r="D365" s="17">
        <f>SUM('Daily Input'!Z170:Z176)</f>
        <v>0</v>
      </c>
      <c r="E365" s="36">
        <f t="shared" ref="E365:F365" si="316">IF(B365=0,0,C365/B365)</f>
        <v>0</v>
      </c>
      <c r="F365" s="36">
        <f t="shared" si="316"/>
        <v>0</v>
      </c>
    </row>
    <row r="366" ht="15.75" customHeight="1">
      <c r="A366" s="35" t="s">
        <v>9</v>
      </c>
      <c r="B366" s="17">
        <f>SUM('Daily Input'!AA170:AA176)</f>
        <v>0</v>
      </c>
      <c r="C366" s="17">
        <f>SUM('Daily Input'!AB170:AB176)</f>
        <v>0</v>
      </c>
      <c r="D366" s="17">
        <f>SUM('Daily Input'!AC170:AC176)</f>
        <v>0</v>
      </c>
      <c r="E366" s="36">
        <f t="shared" ref="E366:F366" si="317">IF(B366=0,0,C366/B366)</f>
        <v>0</v>
      </c>
      <c r="F366" s="36">
        <f t="shared" si="317"/>
        <v>0</v>
      </c>
    </row>
    <row r="367" ht="15.75" customHeight="1">
      <c r="A367" s="35" t="s">
        <v>10</v>
      </c>
      <c r="B367" s="17">
        <f>SUM('Daily Input'!AD170:AD176)</f>
        <v>0</v>
      </c>
      <c r="C367" s="17">
        <f>SUM('Daily Input'!AE170:AE176)</f>
        <v>0</v>
      </c>
      <c r="D367" s="17">
        <f>SUM('Daily Input'!AF170:AF176)</f>
        <v>0</v>
      </c>
      <c r="E367" s="36">
        <f t="shared" ref="E367:F367" si="318">IF(B367=0,0,C367/B367)</f>
        <v>0</v>
      </c>
      <c r="F367" s="36">
        <f t="shared" si="318"/>
        <v>0</v>
      </c>
    </row>
    <row r="368" ht="15.75" customHeight="1">
      <c r="A368" s="35" t="s">
        <v>11</v>
      </c>
      <c r="B368" s="17">
        <f>SUM('Daily Input'!AG170:AG176)</f>
        <v>0</v>
      </c>
      <c r="C368" s="17">
        <f>SUM('Daily Input'!AH170:AH176)</f>
        <v>0</v>
      </c>
      <c r="D368" s="17">
        <f>SUM('Daily Input'!AI170:AI176)</f>
        <v>0</v>
      </c>
      <c r="E368" s="36">
        <f t="shared" ref="E368:F368" si="319">IF(B368=0,0,C368/B368)</f>
        <v>0</v>
      </c>
      <c r="F368" s="36">
        <f t="shared" si="319"/>
        <v>0</v>
      </c>
    </row>
    <row r="369" ht="15.75" customHeight="1">
      <c r="A369" s="35" t="s">
        <v>12</v>
      </c>
      <c r="B369" s="17">
        <f>SUM('Daily Input'!AJ170:AJ176)</f>
        <v>0</v>
      </c>
      <c r="C369" s="17">
        <f>SUM('Daily Input'!AK170:AK176)</f>
        <v>0</v>
      </c>
      <c r="D369" s="17">
        <f>SUM('Daily Input'!AL170:AL176)</f>
        <v>0</v>
      </c>
      <c r="E369" s="36">
        <f t="shared" ref="E369:F369" si="320">IF(B369=0,0,C369/B369)</f>
        <v>0</v>
      </c>
      <c r="F369" s="36">
        <f t="shared" si="320"/>
        <v>0</v>
      </c>
    </row>
    <row r="370" ht="15.75" customHeight="1">
      <c r="A370" s="37" t="s">
        <v>59</v>
      </c>
      <c r="B370" s="29">
        <f t="shared" ref="B370:D370" si="321">SUM(B358:B369)</f>
        <v>0</v>
      </c>
      <c r="C370" s="29">
        <f t="shared" si="321"/>
        <v>0</v>
      </c>
      <c r="D370" s="29">
        <f t="shared" si="321"/>
        <v>0</v>
      </c>
      <c r="E370" s="30">
        <f t="shared" ref="E370:F370" si="322">IF(B370=0,0,C370/B370)</f>
        <v>0</v>
      </c>
      <c r="F370" s="30">
        <f t="shared" si="322"/>
        <v>0</v>
      </c>
    </row>
    <row r="371" ht="15.75" customHeight="1"/>
    <row r="372" ht="15.75" customHeight="1">
      <c r="A372" s="33" t="s">
        <v>82</v>
      </c>
      <c r="B372" s="4"/>
      <c r="C372" s="4"/>
      <c r="D372" s="4"/>
      <c r="E372" s="4"/>
      <c r="F372" s="4"/>
      <c r="G372" s="4"/>
      <c r="H372" s="5"/>
    </row>
    <row r="373" ht="15.75" customHeight="1">
      <c r="A373" s="34" t="s">
        <v>55</v>
      </c>
      <c r="B373" s="34" t="s">
        <v>16</v>
      </c>
      <c r="C373" s="34" t="s">
        <v>17</v>
      </c>
      <c r="D373" s="34" t="s">
        <v>56</v>
      </c>
      <c r="E373" s="34" t="s">
        <v>57</v>
      </c>
      <c r="F373" s="34" t="s">
        <v>58</v>
      </c>
    </row>
    <row r="374" ht="15.75" customHeight="1">
      <c r="A374" s="35" t="s">
        <v>1</v>
      </c>
      <c r="B374" s="17">
        <f>SUM('Daily Input'!C177:C183)</f>
        <v>0</v>
      </c>
      <c r="C374" s="17">
        <f>SUM('Daily Input'!D177:D183)</f>
        <v>0</v>
      </c>
      <c r="D374" s="17">
        <f>SUM('Daily Input'!E177:E183)</f>
        <v>0</v>
      </c>
      <c r="E374" s="36">
        <f t="shared" ref="E374:F374" si="323">IF(B374=0,0,C374/B374)</f>
        <v>0</v>
      </c>
      <c r="F374" s="36">
        <f t="shared" si="323"/>
        <v>0</v>
      </c>
    </row>
    <row r="375" ht="15.75" customHeight="1">
      <c r="A375" s="35" t="s">
        <v>2</v>
      </c>
      <c r="B375" s="17">
        <f>SUM('Daily Input'!F177:F183)</f>
        <v>0</v>
      </c>
      <c r="C375" s="17">
        <f>SUM('Daily Input'!G177:G183)</f>
        <v>0</v>
      </c>
      <c r="D375" s="17">
        <f>SUM('Daily Input'!H177:H183)</f>
        <v>0</v>
      </c>
      <c r="E375" s="36">
        <f t="shared" ref="E375:F375" si="324">IF(B375=0,0,C375/B375)</f>
        <v>0</v>
      </c>
      <c r="F375" s="36">
        <f t="shared" si="324"/>
        <v>0</v>
      </c>
    </row>
    <row r="376" ht="15.75" customHeight="1">
      <c r="A376" s="35" t="s">
        <v>3</v>
      </c>
      <c r="B376" s="17">
        <f>SUM('Daily Input'!I177:I183)</f>
        <v>0</v>
      </c>
      <c r="C376" s="17">
        <f>SUM('Daily Input'!J177:J183)</f>
        <v>0</v>
      </c>
      <c r="D376" s="17">
        <f>SUM('Daily Input'!K177:K183)</f>
        <v>0</v>
      </c>
      <c r="E376" s="36">
        <f t="shared" ref="E376:F376" si="325">IF(B376=0,0,C376/B376)</f>
        <v>0</v>
      </c>
      <c r="F376" s="36">
        <f t="shared" si="325"/>
        <v>0</v>
      </c>
    </row>
    <row r="377" ht="15.75" customHeight="1">
      <c r="A377" s="35" t="s">
        <v>4</v>
      </c>
      <c r="B377" s="17">
        <f>SUM('Daily Input'!L177:L183)</f>
        <v>0</v>
      </c>
      <c r="C377" s="17">
        <f>SUM('Daily Input'!M177:M183)</f>
        <v>0</v>
      </c>
      <c r="D377" s="17">
        <f>SUM('Daily Input'!N177:N183)</f>
        <v>0</v>
      </c>
      <c r="E377" s="36">
        <f t="shared" ref="E377:F377" si="326">IF(B377=0,0,C377/B377)</f>
        <v>0</v>
      </c>
      <c r="F377" s="36">
        <f t="shared" si="326"/>
        <v>0</v>
      </c>
    </row>
    <row r="378" ht="15.75" customHeight="1">
      <c r="A378" s="35" t="s">
        <v>5</v>
      </c>
      <c r="B378" s="17">
        <f>SUM('Daily Input'!O177:O183)</f>
        <v>0</v>
      </c>
      <c r="C378" s="17">
        <f>SUM('Daily Input'!P177:P183)</f>
        <v>0</v>
      </c>
      <c r="D378" s="17">
        <f>SUM('Daily Input'!Q177:Q183)</f>
        <v>0</v>
      </c>
      <c r="E378" s="36">
        <f t="shared" ref="E378:F378" si="327">IF(B378=0,0,C378/B378)</f>
        <v>0</v>
      </c>
      <c r="F378" s="36">
        <f t="shared" si="327"/>
        <v>0</v>
      </c>
    </row>
    <row r="379" ht="15.75" customHeight="1">
      <c r="A379" s="35" t="s">
        <v>6</v>
      </c>
      <c r="B379" s="17">
        <f>SUM('Daily Input'!R177:R183)</f>
        <v>0</v>
      </c>
      <c r="C379" s="17">
        <f>SUM('Daily Input'!S177:S183)</f>
        <v>0</v>
      </c>
      <c r="D379" s="17">
        <f>SUM('Daily Input'!T177:T183)</f>
        <v>0</v>
      </c>
      <c r="E379" s="36">
        <f t="shared" ref="E379:F379" si="328">IF(B379=0,0,C379/B379)</f>
        <v>0</v>
      </c>
      <c r="F379" s="36">
        <f t="shared" si="328"/>
        <v>0</v>
      </c>
    </row>
    <row r="380" ht="15.75" customHeight="1">
      <c r="A380" s="35" t="s">
        <v>7</v>
      </c>
      <c r="B380" s="17">
        <f>SUM('Daily Input'!U177:U183)</f>
        <v>0</v>
      </c>
      <c r="C380" s="17">
        <f>SUM('Daily Input'!V177:V183)</f>
        <v>0</v>
      </c>
      <c r="D380" s="17">
        <f>SUM('Daily Input'!W177:W183)</f>
        <v>0</v>
      </c>
      <c r="E380" s="36">
        <f t="shared" ref="E380:F380" si="329">IF(B380=0,0,C380/B380)</f>
        <v>0</v>
      </c>
      <c r="F380" s="36">
        <f t="shared" si="329"/>
        <v>0</v>
      </c>
    </row>
    <row r="381" ht="15.75" customHeight="1">
      <c r="A381" s="35" t="s">
        <v>8</v>
      </c>
      <c r="B381" s="17">
        <f>SUM('Daily Input'!X177:X183)</f>
        <v>0</v>
      </c>
      <c r="C381" s="17">
        <f>SUM('Daily Input'!Y177:Y183)</f>
        <v>0</v>
      </c>
      <c r="D381" s="17">
        <f>SUM('Daily Input'!Z177:Z183)</f>
        <v>0</v>
      </c>
      <c r="E381" s="36">
        <f t="shared" ref="E381:F381" si="330">IF(B381=0,0,C381/B381)</f>
        <v>0</v>
      </c>
      <c r="F381" s="36">
        <f t="shared" si="330"/>
        <v>0</v>
      </c>
    </row>
    <row r="382" ht="15.75" customHeight="1">
      <c r="A382" s="35" t="s">
        <v>9</v>
      </c>
      <c r="B382" s="17">
        <f>SUM('Daily Input'!AA177:AA183)</f>
        <v>0</v>
      </c>
      <c r="C382" s="17">
        <f>SUM('Daily Input'!AB177:AB183)</f>
        <v>0</v>
      </c>
      <c r="D382" s="17">
        <f>SUM('Daily Input'!AC177:AC183)</f>
        <v>0</v>
      </c>
      <c r="E382" s="36">
        <f t="shared" ref="E382:F382" si="331">IF(B382=0,0,C382/B382)</f>
        <v>0</v>
      </c>
      <c r="F382" s="36">
        <f t="shared" si="331"/>
        <v>0</v>
      </c>
    </row>
    <row r="383" ht="15.75" customHeight="1">
      <c r="A383" s="35" t="s">
        <v>10</v>
      </c>
      <c r="B383" s="17">
        <f>SUM('Daily Input'!AD177:AD183)</f>
        <v>0</v>
      </c>
      <c r="C383" s="17">
        <f>SUM('Daily Input'!AE177:AE183)</f>
        <v>0</v>
      </c>
      <c r="D383" s="17">
        <f>SUM('Daily Input'!AF177:AF183)</f>
        <v>0</v>
      </c>
      <c r="E383" s="36">
        <f t="shared" ref="E383:F383" si="332">IF(B383=0,0,C383/B383)</f>
        <v>0</v>
      </c>
      <c r="F383" s="36">
        <f t="shared" si="332"/>
        <v>0</v>
      </c>
    </row>
    <row r="384" ht="15.75" customHeight="1">
      <c r="A384" s="35" t="s">
        <v>11</v>
      </c>
      <c r="B384" s="17">
        <f>SUM('Daily Input'!AG177:AG183)</f>
        <v>0</v>
      </c>
      <c r="C384" s="17">
        <f>SUM('Daily Input'!AH177:AH183)</f>
        <v>0</v>
      </c>
      <c r="D384" s="17">
        <f>SUM('Daily Input'!AI177:AI183)</f>
        <v>0</v>
      </c>
      <c r="E384" s="36">
        <f t="shared" ref="E384:F384" si="333">IF(B384=0,0,C384/B384)</f>
        <v>0</v>
      </c>
      <c r="F384" s="36">
        <f t="shared" si="333"/>
        <v>0</v>
      </c>
    </row>
    <row r="385" ht="15.75" customHeight="1">
      <c r="A385" s="35" t="s">
        <v>12</v>
      </c>
      <c r="B385" s="17">
        <f>SUM('Daily Input'!AJ177:AJ183)</f>
        <v>0</v>
      </c>
      <c r="C385" s="17">
        <f>SUM('Daily Input'!AK177:AK183)</f>
        <v>0</v>
      </c>
      <c r="D385" s="17">
        <f>SUM('Daily Input'!AL177:AL183)</f>
        <v>0</v>
      </c>
      <c r="E385" s="36">
        <f t="shared" ref="E385:F385" si="334">IF(B385=0,0,C385/B385)</f>
        <v>0</v>
      </c>
      <c r="F385" s="36">
        <f t="shared" si="334"/>
        <v>0</v>
      </c>
    </row>
    <row r="386" ht="15.75" customHeight="1">
      <c r="A386" s="37" t="s">
        <v>59</v>
      </c>
      <c r="B386" s="29">
        <f t="shared" ref="B386:D386" si="335">SUM(B374:B385)</f>
        <v>0</v>
      </c>
      <c r="C386" s="29">
        <f t="shared" si="335"/>
        <v>0</v>
      </c>
      <c r="D386" s="29">
        <f t="shared" si="335"/>
        <v>0</v>
      </c>
      <c r="E386" s="30">
        <f t="shared" ref="E386:F386" si="336">IF(B386=0,0,C386/B386)</f>
        <v>0</v>
      </c>
      <c r="F386" s="30">
        <f t="shared" si="336"/>
        <v>0</v>
      </c>
    </row>
    <row r="387" ht="15.75" customHeight="1"/>
    <row r="388" ht="15.75" customHeight="1">
      <c r="A388" s="33" t="s">
        <v>83</v>
      </c>
      <c r="B388" s="4"/>
      <c r="C388" s="4"/>
      <c r="D388" s="4"/>
      <c r="E388" s="4"/>
      <c r="F388" s="4"/>
      <c r="G388" s="4"/>
      <c r="H388" s="5"/>
    </row>
    <row r="389" ht="15.75" customHeight="1">
      <c r="A389" s="34" t="s">
        <v>55</v>
      </c>
      <c r="B389" s="34" t="s">
        <v>16</v>
      </c>
      <c r="C389" s="34" t="s">
        <v>17</v>
      </c>
      <c r="D389" s="34" t="s">
        <v>56</v>
      </c>
      <c r="E389" s="34" t="s">
        <v>57</v>
      </c>
      <c r="F389" s="34" t="s">
        <v>58</v>
      </c>
    </row>
    <row r="390" ht="15.75" customHeight="1">
      <c r="A390" s="35" t="s">
        <v>1</v>
      </c>
      <c r="B390" s="17">
        <f>SUM('Daily Input'!C184:C190)</f>
        <v>0</v>
      </c>
      <c r="C390" s="17">
        <f>SUM('Daily Input'!D184:D190)</f>
        <v>0</v>
      </c>
      <c r="D390" s="17">
        <f>SUM('Daily Input'!E184:E190)</f>
        <v>0</v>
      </c>
      <c r="E390" s="36">
        <f t="shared" ref="E390:F390" si="337">IF(B390=0,0,C390/B390)</f>
        <v>0</v>
      </c>
      <c r="F390" s="36">
        <f t="shared" si="337"/>
        <v>0</v>
      </c>
    </row>
    <row r="391" ht="15.75" customHeight="1">
      <c r="A391" s="35" t="s">
        <v>2</v>
      </c>
      <c r="B391" s="17">
        <f>SUM('Daily Input'!F184:F190)</f>
        <v>0</v>
      </c>
      <c r="C391" s="17">
        <f>SUM('Daily Input'!G184:G190)</f>
        <v>0</v>
      </c>
      <c r="D391" s="17">
        <f>SUM('Daily Input'!H184:H190)</f>
        <v>0</v>
      </c>
      <c r="E391" s="36">
        <f t="shared" ref="E391:F391" si="338">IF(B391=0,0,C391/B391)</f>
        <v>0</v>
      </c>
      <c r="F391" s="36">
        <f t="shared" si="338"/>
        <v>0</v>
      </c>
    </row>
    <row r="392" ht="15.75" customHeight="1">
      <c r="A392" s="35" t="s">
        <v>3</v>
      </c>
      <c r="B392" s="17">
        <f>SUM('Daily Input'!I184:I190)</f>
        <v>0</v>
      </c>
      <c r="C392" s="17">
        <f>SUM('Daily Input'!J184:J190)</f>
        <v>0</v>
      </c>
      <c r="D392" s="17">
        <f>SUM('Daily Input'!K184:K190)</f>
        <v>0</v>
      </c>
      <c r="E392" s="36">
        <f t="shared" ref="E392:F392" si="339">IF(B392=0,0,C392/B392)</f>
        <v>0</v>
      </c>
      <c r="F392" s="36">
        <f t="shared" si="339"/>
        <v>0</v>
      </c>
    </row>
    <row r="393" ht="15.75" customHeight="1">
      <c r="A393" s="35" t="s">
        <v>4</v>
      </c>
      <c r="B393" s="17">
        <f>SUM('Daily Input'!L184:L190)</f>
        <v>0</v>
      </c>
      <c r="C393" s="17">
        <f>SUM('Daily Input'!M184:M190)</f>
        <v>0</v>
      </c>
      <c r="D393" s="17">
        <f>SUM('Daily Input'!N184:N190)</f>
        <v>0</v>
      </c>
      <c r="E393" s="36">
        <f t="shared" ref="E393:F393" si="340">IF(B393=0,0,C393/B393)</f>
        <v>0</v>
      </c>
      <c r="F393" s="36">
        <f t="shared" si="340"/>
        <v>0</v>
      </c>
    </row>
    <row r="394" ht="15.75" customHeight="1">
      <c r="A394" s="35" t="s">
        <v>5</v>
      </c>
      <c r="B394" s="17">
        <f>SUM('Daily Input'!O184:O190)</f>
        <v>0</v>
      </c>
      <c r="C394" s="17">
        <f>SUM('Daily Input'!P184:P190)</f>
        <v>0</v>
      </c>
      <c r="D394" s="17">
        <f>SUM('Daily Input'!Q184:Q190)</f>
        <v>0</v>
      </c>
      <c r="E394" s="36">
        <f t="shared" ref="E394:F394" si="341">IF(B394=0,0,C394/B394)</f>
        <v>0</v>
      </c>
      <c r="F394" s="36">
        <f t="shared" si="341"/>
        <v>0</v>
      </c>
    </row>
    <row r="395" ht="15.75" customHeight="1">
      <c r="A395" s="35" t="s">
        <v>6</v>
      </c>
      <c r="B395" s="17">
        <f>SUM('Daily Input'!R184:R190)</f>
        <v>0</v>
      </c>
      <c r="C395" s="17">
        <f>SUM('Daily Input'!S184:S190)</f>
        <v>0</v>
      </c>
      <c r="D395" s="17">
        <f>SUM('Daily Input'!T184:T190)</f>
        <v>0</v>
      </c>
      <c r="E395" s="36">
        <f t="shared" ref="E395:F395" si="342">IF(B395=0,0,C395/B395)</f>
        <v>0</v>
      </c>
      <c r="F395" s="36">
        <f t="shared" si="342"/>
        <v>0</v>
      </c>
    </row>
    <row r="396" ht="15.75" customHeight="1">
      <c r="A396" s="35" t="s">
        <v>7</v>
      </c>
      <c r="B396" s="17">
        <f>SUM('Daily Input'!U184:U190)</f>
        <v>0</v>
      </c>
      <c r="C396" s="17">
        <f>SUM('Daily Input'!V184:V190)</f>
        <v>0</v>
      </c>
      <c r="D396" s="17">
        <f>SUM('Daily Input'!W184:W190)</f>
        <v>0</v>
      </c>
      <c r="E396" s="36">
        <f t="shared" ref="E396:F396" si="343">IF(B396=0,0,C396/B396)</f>
        <v>0</v>
      </c>
      <c r="F396" s="36">
        <f t="shared" si="343"/>
        <v>0</v>
      </c>
    </row>
    <row r="397" ht="15.75" customHeight="1">
      <c r="A397" s="35" t="s">
        <v>8</v>
      </c>
      <c r="B397" s="17">
        <f>SUM('Daily Input'!X184:X190)</f>
        <v>0</v>
      </c>
      <c r="C397" s="17">
        <f>SUM('Daily Input'!Y184:Y190)</f>
        <v>0</v>
      </c>
      <c r="D397" s="17">
        <f>SUM('Daily Input'!Z184:Z190)</f>
        <v>0</v>
      </c>
      <c r="E397" s="36">
        <f t="shared" ref="E397:F397" si="344">IF(B397=0,0,C397/B397)</f>
        <v>0</v>
      </c>
      <c r="F397" s="36">
        <f t="shared" si="344"/>
        <v>0</v>
      </c>
    </row>
    <row r="398" ht="15.75" customHeight="1">
      <c r="A398" s="35" t="s">
        <v>9</v>
      </c>
      <c r="B398" s="17">
        <f>SUM('Daily Input'!AA184:AA190)</f>
        <v>0</v>
      </c>
      <c r="C398" s="17">
        <f>SUM('Daily Input'!AB184:AB190)</f>
        <v>0</v>
      </c>
      <c r="D398" s="17">
        <f>SUM('Daily Input'!AC184:AC190)</f>
        <v>0</v>
      </c>
      <c r="E398" s="36">
        <f t="shared" ref="E398:F398" si="345">IF(B398=0,0,C398/B398)</f>
        <v>0</v>
      </c>
      <c r="F398" s="36">
        <f t="shared" si="345"/>
        <v>0</v>
      </c>
    </row>
    <row r="399" ht="15.75" customHeight="1">
      <c r="A399" s="35" t="s">
        <v>10</v>
      </c>
      <c r="B399" s="17">
        <f>SUM('Daily Input'!AD184:AD190)</f>
        <v>0</v>
      </c>
      <c r="C399" s="17">
        <f>SUM('Daily Input'!AE184:AE190)</f>
        <v>0</v>
      </c>
      <c r="D399" s="17">
        <f>SUM('Daily Input'!AF184:AF190)</f>
        <v>0</v>
      </c>
      <c r="E399" s="36">
        <f t="shared" ref="E399:F399" si="346">IF(B399=0,0,C399/B399)</f>
        <v>0</v>
      </c>
      <c r="F399" s="36">
        <f t="shared" si="346"/>
        <v>0</v>
      </c>
    </row>
    <row r="400" ht="15.75" customHeight="1">
      <c r="A400" s="35" t="s">
        <v>11</v>
      </c>
      <c r="B400" s="17">
        <f>SUM('Daily Input'!AG184:AG190)</f>
        <v>0</v>
      </c>
      <c r="C400" s="17">
        <f>SUM('Daily Input'!AH184:AH190)</f>
        <v>0</v>
      </c>
      <c r="D400" s="17">
        <f>SUM('Daily Input'!AI184:AI190)</f>
        <v>0</v>
      </c>
      <c r="E400" s="36">
        <f t="shared" ref="E400:F400" si="347">IF(B400=0,0,C400/B400)</f>
        <v>0</v>
      </c>
      <c r="F400" s="36">
        <f t="shared" si="347"/>
        <v>0</v>
      </c>
    </row>
    <row r="401" ht="15.75" customHeight="1">
      <c r="A401" s="35" t="s">
        <v>12</v>
      </c>
      <c r="B401" s="17">
        <f>SUM('Daily Input'!AJ184:AJ190)</f>
        <v>0</v>
      </c>
      <c r="C401" s="17">
        <f>SUM('Daily Input'!AK184:AK190)</f>
        <v>0</v>
      </c>
      <c r="D401" s="17">
        <f>SUM('Daily Input'!AL184:AL190)</f>
        <v>0</v>
      </c>
      <c r="E401" s="36">
        <f t="shared" ref="E401:F401" si="348">IF(B401=0,0,C401/B401)</f>
        <v>0</v>
      </c>
      <c r="F401" s="36">
        <f t="shared" si="348"/>
        <v>0</v>
      </c>
    </row>
    <row r="402" ht="15.75" customHeight="1">
      <c r="A402" s="37" t="s">
        <v>59</v>
      </c>
      <c r="B402" s="29">
        <f t="shared" ref="B402:D402" si="349">SUM(B390:B401)</f>
        <v>0</v>
      </c>
      <c r="C402" s="29">
        <f t="shared" si="349"/>
        <v>0</v>
      </c>
      <c r="D402" s="29">
        <f t="shared" si="349"/>
        <v>0</v>
      </c>
      <c r="E402" s="30">
        <f t="shared" ref="E402:F402" si="350">IF(B402=0,0,C402/B402)</f>
        <v>0</v>
      </c>
      <c r="F402" s="30">
        <f t="shared" si="350"/>
        <v>0</v>
      </c>
    </row>
    <row r="403" ht="15.75" customHeight="1"/>
    <row r="404" ht="15.75" customHeight="1">
      <c r="A404" s="33" t="s">
        <v>84</v>
      </c>
      <c r="B404" s="4"/>
      <c r="C404" s="4"/>
      <c r="D404" s="4"/>
      <c r="E404" s="4"/>
      <c r="F404" s="4"/>
      <c r="G404" s="4"/>
      <c r="H404" s="5"/>
    </row>
    <row r="405" ht="15.75" customHeight="1">
      <c r="A405" s="34" t="s">
        <v>55</v>
      </c>
      <c r="B405" s="34" t="s">
        <v>16</v>
      </c>
      <c r="C405" s="34" t="s">
        <v>17</v>
      </c>
      <c r="D405" s="34" t="s">
        <v>56</v>
      </c>
      <c r="E405" s="34" t="s">
        <v>57</v>
      </c>
      <c r="F405" s="34" t="s">
        <v>58</v>
      </c>
    </row>
    <row r="406" ht="15.75" customHeight="1">
      <c r="A406" s="35" t="s">
        <v>1</v>
      </c>
      <c r="B406" s="17">
        <f>SUM('Daily Input'!C191:C197)</f>
        <v>0</v>
      </c>
      <c r="C406" s="17">
        <f>SUM('Daily Input'!D191:D197)</f>
        <v>0</v>
      </c>
      <c r="D406" s="17">
        <f>SUM('Daily Input'!E191:E197)</f>
        <v>0</v>
      </c>
      <c r="E406" s="36">
        <f t="shared" ref="E406:F406" si="351">IF(B406=0,0,C406/B406)</f>
        <v>0</v>
      </c>
      <c r="F406" s="36">
        <f t="shared" si="351"/>
        <v>0</v>
      </c>
    </row>
    <row r="407" ht="15.75" customHeight="1">
      <c r="A407" s="35" t="s">
        <v>2</v>
      </c>
      <c r="B407" s="17">
        <f>SUM('Daily Input'!F191:F197)</f>
        <v>0</v>
      </c>
      <c r="C407" s="17">
        <f>SUM('Daily Input'!G191:G197)</f>
        <v>0</v>
      </c>
      <c r="D407" s="17">
        <f>SUM('Daily Input'!H191:H197)</f>
        <v>0</v>
      </c>
      <c r="E407" s="36">
        <f t="shared" ref="E407:F407" si="352">IF(B407=0,0,C407/B407)</f>
        <v>0</v>
      </c>
      <c r="F407" s="36">
        <f t="shared" si="352"/>
        <v>0</v>
      </c>
    </row>
    <row r="408" ht="15.75" customHeight="1">
      <c r="A408" s="35" t="s">
        <v>3</v>
      </c>
      <c r="B408" s="17">
        <f>SUM('Daily Input'!I191:I197)</f>
        <v>0</v>
      </c>
      <c r="C408" s="17">
        <f>SUM('Daily Input'!J191:J197)</f>
        <v>0</v>
      </c>
      <c r="D408" s="17">
        <f>SUM('Daily Input'!K191:K197)</f>
        <v>0</v>
      </c>
      <c r="E408" s="36">
        <f t="shared" ref="E408:F408" si="353">IF(B408=0,0,C408/B408)</f>
        <v>0</v>
      </c>
      <c r="F408" s="36">
        <f t="shared" si="353"/>
        <v>0</v>
      </c>
    </row>
    <row r="409" ht="15.75" customHeight="1">
      <c r="A409" s="35" t="s">
        <v>4</v>
      </c>
      <c r="B409" s="17">
        <f>SUM('Daily Input'!L191:L197)</f>
        <v>0</v>
      </c>
      <c r="C409" s="17">
        <f>SUM('Daily Input'!M191:M197)</f>
        <v>0</v>
      </c>
      <c r="D409" s="17">
        <f>SUM('Daily Input'!N191:N197)</f>
        <v>0</v>
      </c>
      <c r="E409" s="36">
        <f t="shared" ref="E409:F409" si="354">IF(B409=0,0,C409/B409)</f>
        <v>0</v>
      </c>
      <c r="F409" s="36">
        <f t="shared" si="354"/>
        <v>0</v>
      </c>
    </row>
    <row r="410" ht="15.75" customHeight="1">
      <c r="A410" s="35" t="s">
        <v>5</v>
      </c>
      <c r="B410" s="17">
        <f>SUM('Daily Input'!O191:O197)</f>
        <v>0</v>
      </c>
      <c r="C410" s="17">
        <f>SUM('Daily Input'!P191:P197)</f>
        <v>0</v>
      </c>
      <c r="D410" s="17">
        <f>SUM('Daily Input'!Q191:Q197)</f>
        <v>0</v>
      </c>
      <c r="E410" s="36">
        <f t="shared" ref="E410:F410" si="355">IF(B410=0,0,C410/B410)</f>
        <v>0</v>
      </c>
      <c r="F410" s="36">
        <f t="shared" si="355"/>
        <v>0</v>
      </c>
    </row>
    <row r="411" ht="15.75" customHeight="1">
      <c r="A411" s="35" t="s">
        <v>6</v>
      </c>
      <c r="B411" s="17">
        <f>SUM('Daily Input'!R191:R197)</f>
        <v>0</v>
      </c>
      <c r="C411" s="17">
        <f>SUM('Daily Input'!S191:S197)</f>
        <v>0</v>
      </c>
      <c r="D411" s="17">
        <f>SUM('Daily Input'!T191:T197)</f>
        <v>0</v>
      </c>
      <c r="E411" s="36">
        <f t="shared" ref="E411:F411" si="356">IF(B411=0,0,C411/B411)</f>
        <v>0</v>
      </c>
      <c r="F411" s="36">
        <f t="shared" si="356"/>
        <v>0</v>
      </c>
    </row>
    <row r="412" ht="15.75" customHeight="1">
      <c r="A412" s="35" t="s">
        <v>7</v>
      </c>
      <c r="B412" s="17">
        <f>SUM('Daily Input'!U191:U197)</f>
        <v>0</v>
      </c>
      <c r="C412" s="17">
        <f>SUM('Daily Input'!V191:V197)</f>
        <v>0</v>
      </c>
      <c r="D412" s="17">
        <f>SUM('Daily Input'!W191:W197)</f>
        <v>0</v>
      </c>
      <c r="E412" s="36">
        <f t="shared" ref="E412:F412" si="357">IF(B412=0,0,C412/B412)</f>
        <v>0</v>
      </c>
      <c r="F412" s="36">
        <f t="shared" si="357"/>
        <v>0</v>
      </c>
    </row>
    <row r="413" ht="15.75" customHeight="1">
      <c r="A413" s="35" t="s">
        <v>8</v>
      </c>
      <c r="B413" s="17">
        <f>SUM('Daily Input'!X191:X197)</f>
        <v>0</v>
      </c>
      <c r="C413" s="17">
        <f>SUM('Daily Input'!Y191:Y197)</f>
        <v>0</v>
      </c>
      <c r="D413" s="17">
        <f>SUM('Daily Input'!Z191:Z197)</f>
        <v>0</v>
      </c>
      <c r="E413" s="36">
        <f t="shared" ref="E413:F413" si="358">IF(B413=0,0,C413/B413)</f>
        <v>0</v>
      </c>
      <c r="F413" s="36">
        <f t="shared" si="358"/>
        <v>0</v>
      </c>
    </row>
    <row r="414" ht="15.75" customHeight="1">
      <c r="A414" s="35" t="s">
        <v>9</v>
      </c>
      <c r="B414" s="17">
        <f>SUM('Daily Input'!AA191:AA197)</f>
        <v>0</v>
      </c>
      <c r="C414" s="17">
        <f>SUM('Daily Input'!AB191:AB197)</f>
        <v>0</v>
      </c>
      <c r="D414" s="17">
        <f>SUM('Daily Input'!AC191:AC197)</f>
        <v>0</v>
      </c>
      <c r="E414" s="36">
        <f t="shared" ref="E414:F414" si="359">IF(B414=0,0,C414/B414)</f>
        <v>0</v>
      </c>
      <c r="F414" s="36">
        <f t="shared" si="359"/>
        <v>0</v>
      </c>
    </row>
    <row r="415" ht="15.75" customHeight="1">
      <c r="A415" s="35" t="s">
        <v>10</v>
      </c>
      <c r="B415" s="17">
        <f>SUM('Daily Input'!AD191:AD197)</f>
        <v>0</v>
      </c>
      <c r="C415" s="17">
        <f>SUM('Daily Input'!AE191:AE197)</f>
        <v>0</v>
      </c>
      <c r="D415" s="17">
        <f>SUM('Daily Input'!AF191:AF197)</f>
        <v>0</v>
      </c>
      <c r="E415" s="36">
        <f t="shared" ref="E415:F415" si="360">IF(B415=0,0,C415/B415)</f>
        <v>0</v>
      </c>
      <c r="F415" s="36">
        <f t="shared" si="360"/>
        <v>0</v>
      </c>
    </row>
    <row r="416" ht="15.75" customHeight="1">
      <c r="A416" s="35" t="s">
        <v>11</v>
      </c>
      <c r="B416" s="17">
        <f>SUM('Daily Input'!AG191:AG197)</f>
        <v>0</v>
      </c>
      <c r="C416" s="17">
        <f>SUM('Daily Input'!AH191:AH197)</f>
        <v>0</v>
      </c>
      <c r="D416" s="17">
        <f>SUM('Daily Input'!AI191:AI197)</f>
        <v>0</v>
      </c>
      <c r="E416" s="36">
        <f t="shared" ref="E416:F416" si="361">IF(B416=0,0,C416/B416)</f>
        <v>0</v>
      </c>
      <c r="F416" s="36">
        <f t="shared" si="361"/>
        <v>0</v>
      </c>
    </row>
    <row r="417" ht="15.75" customHeight="1">
      <c r="A417" s="35" t="s">
        <v>12</v>
      </c>
      <c r="B417" s="17">
        <f>SUM('Daily Input'!AJ191:AJ197)</f>
        <v>0</v>
      </c>
      <c r="C417" s="17">
        <f>SUM('Daily Input'!AK191:AK197)</f>
        <v>0</v>
      </c>
      <c r="D417" s="17">
        <f>SUM('Daily Input'!AL191:AL197)</f>
        <v>0</v>
      </c>
      <c r="E417" s="36">
        <f t="shared" ref="E417:F417" si="362">IF(B417=0,0,C417/B417)</f>
        <v>0</v>
      </c>
      <c r="F417" s="36">
        <f t="shared" si="362"/>
        <v>0</v>
      </c>
    </row>
    <row r="418" ht="15.75" customHeight="1">
      <c r="A418" s="37" t="s">
        <v>59</v>
      </c>
      <c r="B418" s="29">
        <f t="shared" ref="B418:D418" si="363">SUM(B406:B417)</f>
        <v>0</v>
      </c>
      <c r="C418" s="29">
        <f t="shared" si="363"/>
        <v>0</v>
      </c>
      <c r="D418" s="29">
        <f t="shared" si="363"/>
        <v>0</v>
      </c>
      <c r="E418" s="30">
        <f t="shared" ref="E418:F418" si="364">IF(B418=0,0,C418/B418)</f>
        <v>0</v>
      </c>
      <c r="F418" s="30">
        <f t="shared" si="364"/>
        <v>0</v>
      </c>
    </row>
    <row r="419" ht="15.75" customHeight="1"/>
    <row r="420" ht="15.75" customHeight="1">
      <c r="A420" s="33" t="s">
        <v>85</v>
      </c>
      <c r="B420" s="4"/>
      <c r="C420" s="4"/>
      <c r="D420" s="4"/>
      <c r="E420" s="4"/>
      <c r="F420" s="4"/>
      <c r="G420" s="4"/>
      <c r="H420" s="5"/>
    </row>
    <row r="421" ht="15.75" customHeight="1">
      <c r="A421" s="34" t="s">
        <v>55</v>
      </c>
      <c r="B421" s="34" t="s">
        <v>16</v>
      </c>
      <c r="C421" s="34" t="s">
        <v>17</v>
      </c>
      <c r="D421" s="34" t="s">
        <v>56</v>
      </c>
      <c r="E421" s="34" t="s">
        <v>57</v>
      </c>
      <c r="F421" s="34" t="s">
        <v>58</v>
      </c>
    </row>
    <row r="422" ht="15.75" customHeight="1">
      <c r="A422" s="35" t="s">
        <v>1</v>
      </c>
      <c r="B422" s="17">
        <f>SUM('Daily Input'!C198:C207)</f>
        <v>0</v>
      </c>
      <c r="C422" s="17">
        <f>SUM('Daily Input'!D198:D207)</f>
        <v>0</v>
      </c>
      <c r="D422" s="17">
        <f>SUM('Daily Input'!E198:E207)</f>
        <v>0</v>
      </c>
      <c r="E422" s="36">
        <f t="shared" ref="E422:F422" si="365">IF(B422=0,0,C422/B422)</f>
        <v>0</v>
      </c>
      <c r="F422" s="36">
        <f t="shared" si="365"/>
        <v>0</v>
      </c>
    </row>
    <row r="423" ht="15.75" customHeight="1">
      <c r="A423" s="35" t="s">
        <v>2</v>
      </c>
      <c r="B423" s="17">
        <f>SUM('Daily Input'!F198:F207)</f>
        <v>0</v>
      </c>
      <c r="C423" s="17">
        <f>SUM('Daily Input'!G198:G207)</f>
        <v>0</v>
      </c>
      <c r="D423" s="17">
        <f>SUM('Daily Input'!H198:H207)</f>
        <v>0</v>
      </c>
      <c r="E423" s="36">
        <f t="shared" ref="E423:F423" si="366">IF(B423=0,0,C423/B423)</f>
        <v>0</v>
      </c>
      <c r="F423" s="36">
        <f t="shared" si="366"/>
        <v>0</v>
      </c>
    </row>
    <row r="424" ht="15.75" customHeight="1">
      <c r="A424" s="35" t="s">
        <v>3</v>
      </c>
      <c r="B424" s="17">
        <f>SUM('Daily Input'!I198:I207)</f>
        <v>0</v>
      </c>
      <c r="C424" s="17">
        <f>SUM('Daily Input'!J198:J207)</f>
        <v>0</v>
      </c>
      <c r="D424" s="17">
        <f>SUM('Daily Input'!K198:K207)</f>
        <v>0</v>
      </c>
      <c r="E424" s="36">
        <f t="shared" ref="E424:F424" si="367">IF(B424=0,0,C424/B424)</f>
        <v>0</v>
      </c>
      <c r="F424" s="36">
        <f t="shared" si="367"/>
        <v>0</v>
      </c>
    </row>
    <row r="425" ht="15.75" customHeight="1">
      <c r="A425" s="35" t="s">
        <v>4</v>
      </c>
      <c r="B425" s="17">
        <f>SUM('Daily Input'!L198:L207)</f>
        <v>0</v>
      </c>
      <c r="C425" s="17">
        <f>SUM('Daily Input'!M198:M207)</f>
        <v>0</v>
      </c>
      <c r="D425" s="17">
        <f>SUM('Daily Input'!N198:N207)</f>
        <v>0</v>
      </c>
      <c r="E425" s="36">
        <f t="shared" ref="E425:F425" si="368">IF(B425=0,0,C425/B425)</f>
        <v>0</v>
      </c>
      <c r="F425" s="36">
        <f t="shared" si="368"/>
        <v>0</v>
      </c>
    </row>
    <row r="426" ht="15.75" customHeight="1">
      <c r="A426" s="35" t="s">
        <v>5</v>
      </c>
      <c r="B426" s="17">
        <f>SUM('Daily Input'!O198:O207)</f>
        <v>0</v>
      </c>
      <c r="C426" s="17">
        <f>SUM('Daily Input'!P198:P207)</f>
        <v>0</v>
      </c>
      <c r="D426" s="17">
        <f>SUM('Daily Input'!Q198:Q207)</f>
        <v>0</v>
      </c>
      <c r="E426" s="36">
        <f t="shared" ref="E426:F426" si="369">IF(B426=0,0,C426/B426)</f>
        <v>0</v>
      </c>
      <c r="F426" s="36">
        <f t="shared" si="369"/>
        <v>0</v>
      </c>
    </row>
    <row r="427" ht="15.75" customHeight="1">
      <c r="A427" s="35" t="s">
        <v>6</v>
      </c>
      <c r="B427" s="17">
        <f>SUM('Daily Input'!R198:R207)</f>
        <v>0</v>
      </c>
      <c r="C427" s="17">
        <f>SUM('Daily Input'!S198:S207)</f>
        <v>0</v>
      </c>
      <c r="D427" s="17">
        <f>SUM('Daily Input'!T198:T207)</f>
        <v>0</v>
      </c>
      <c r="E427" s="36">
        <f t="shared" ref="E427:F427" si="370">IF(B427=0,0,C427/B427)</f>
        <v>0</v>
      </c>
      <c r="F427" s="36">
        <f t="shared" si="370"/>
        <v>0</v>
      </c>
    </row>
    <row r="428" ht="15.75" customHeight="1">
      <c r="A428" s="35" t="s">
        <v>7</v>
      </c>
      <c r="B428" s="17">
        <f>SUM('Daily Input'!U198:U207)</f>
        <v>0</v>
      </c>
      <c r="C428" s="17">
        <f>SUM('Daily Input'!V198:V207)</f>
        <v>0</v>
      </c>
      <c r="D428" s="17">
        <f>SUM('Daily Input'!W198:W207)</f>
        <v>0</v>
      </c>
      <c r="E428" s="36">
        <f t="shared" ref="E428:F428" si="371">IF(B428=0,0,C428/B428)</f>
        <v>0</v>
      </c>
      <c r="F428" s="36">
        <f t="shared" si="371"/>
        <v>0</v>
      </c>
    </row>
    <row r="429" ht="15.75" customHeight="1">
      <c r="A429" s="35" t="s">
        <v>8</v>
      </c>
      <c r="B429" s="17">
        <f>SUM('Daily Input'!X198:X207)</f>
        <v>0</v>
      </c>
      <c r="C429" s="17">
        <f>SUM('Daily Input'!Y198:Y207)</f>
        <v>0</v>
      </c>
      <c r="D429" s="17">
        <f>SUM('Daily Input'!Z198:Z207)</f>
        <v>0</v>
      </c>
      <c r="E429" s="36">
        <f t="shared" ref="E429:F429" si="372">IF(B429=0,0,C429/B429)</f>
        <v>0</v>
      </c>
      <c r="F429" s="36">
        <f t="shared" si="372"/>
        <v>0</v>
      </c>
    </row>
    <row r="430" ht="15.75" customHeight="1">
      <c r="A430" s="35" t="s">
        <v>9</v>
      </c>
      <c r="B430" s="17">
        <f>SUM('Daily Input'!AA198:AA207)</f>
        <v>0</v>
      </c>
      <c r="C430" s="17">
        <f>SUM('Daily Input'!AB198:AB207)</f>
        <v>0</v>
      </c>
      <c r="D430" s="17">
        <f>SUM('Daily Input'!AC198:AC207)</f>
        <v>0</v>
      </c>
      <c r="E430" s="36">
        <f t="shared" ref="E430:F430" si="373">IF(B430=0,0,C430/B430)</f>
        <v>0</v>
      </c>
      <c r="F430" s="36">
        <f t="shared" si="373"/>
        <v>0</v>
      </c>
    </row>
    <row r="431" ht="15.75" customHeight="1">
      <c r="A431" s="35" t="s">
        <v>10</v>
      </c>
      <c r="B431" s="17">
        <f>SUM('Daily Input'!AD198:AD207)</f>
        <v>0</v>
      </c>
      <c r="C431" s="17">
        <f>SUM('Daily Input'!AE198:AE207)</f>
        <v>0</v>
      </c>
      <c r="D431" s="17">
        <f>SUM('Daily Input'!AF198:AF207)</f>
        <v>0</v>
      </c>
      <c r="E431" s="36">
        <f t="shared" ref="E431:F431" si="374">IF(B431=0,0,C431/B431)</f>
        <v>0</v>
      </c>
      <c r="F431" s="36">
        <f t="shared" si="374"/>
        <v>0</v>
      </c>
    </row>
    <row r="432" ht="15.75" customHeight="1">
      <c r="A432" s="35" t="s">
        <v>11</v>
      </c>
      <c r="B432" s="17">
        <f>SUM('Daily Input'!AG198:AG207)</f>
        <v>0</v>
      </c>
      <c r="C432" s="17">
        <f>SUM('Daily Input'!AH198:AH207)</f>
        <v>0</v>
      </c>
      <c r="D432" s="17">
        <f>SUM('Daily Input'!AI198:AI207)</f>
        <v>0</v>
      </c>
      <c r="E432" s="36">
        <f t="shared" ref="E432:F432" si="375">IF(B432=0,0,C432/B432)</f>
        <v>0</v>
      </c>
      <c r="F432" s="36">
        <f t="shared" si="375"/>
        <v>0</v>
      </c>
    </row>
    <row r="433" ht="15.75" customHeight="1">
      <c r="A433" s="35" t="s">
        <v>12</v>
      </c>
      <c r="B433" s="17">
        <f>SUM('Daily Input'!AJ198:AJ207)</f>
        <v>0</v>
      </c>
      <c r="C433" s="17">
        <f>SUM('Daily Input'!AK198:AK207)</f>
        <v>0</v>
      </c>
      <c r="D433" s="17">
        <f>SUM('Daily Input'!AL198:AL207)</f>
        <v>0</v>
      </c>
      <c r="E433" s="36">
        <f t="shared" ref="E433:F433" si="376">IF(B433=0,0,C433/B433)</f>
        <v>0</v>
      </c>
      <c r="F433" s="36">
        <f t="shared" si="376"/>
        <v>0</v>
      </c>
    </row>
    <row r="434" ht="15.75" customHeight="1">
      <c r="A434" s="37" t="s">
        <v>59</v>
      </c>
      <c r="B434" s="29">
        <f t="shared" ref="B434:D434" si="377">SUM(B422:B433)</f>
        <v>0</v>
      </c>
      <c r="C434" s="29">
        <f t="shared" si="377"/>
        <v>0</v>
      </c>
      <c r="D434" s="29">
        <f t="shared" si="377"/>
        <v>0</v>
      </c>
      <c r="E434" s="30">
        <f t="shared" ref="E434:F434" si="378">IF(B434=0,0,C434/B434)</f>
        <v>0</v>
      </c>
      <c r="F434" s="30">
        <f t="shared" si="378"/>
        <v>0</v>
      </c>
    </row>
    <row r="435" ht="15.75" customHeight="1"/>
    <row r="436" ht="15.75" customHeight="1">
      <c r="A436" s="33" t="s">
        <v>86</v>
      </c>
      <c r="B436" s="4"/>
      <c r="C436" s="4"/>
      <c r="D436" s="4"/>
      <c r="E436" s="4"/>
      <c r="F436" s="4"/>
      <c r="G436" s="4"/>
      <c r="H436" s="5"/>
    </row>
    <row r="437" ht="15.75" customHeight="1">
      <c r="A437" s="34" t="s">
        <v>55</v>
      </c>
      <c r="B437" s="34" t="s">
        <v>16</v>
      </c>
      <c r="C437" s="34" t="s">
        <v>17</v>
      </c>
      <c r="D437" s="34" t="s">
        <v>56</v>
      </c>
      <c r="E437" s="34" t="s">
        <v>57</v>
      </c>
      <c r="F437" s="34" t="s">
        <v>58</v>
      </c>
    </row>
    <row r="438" ht="15.75" customHeight="1">
      <c r="A438" s="35" t="s">
        <v>1</v>
      </c>
      <c r="B438" s="17">
        <f>SUM('Daily Input'!C208:C214)</f>
        <v>0</v>
      </c>
      <c r="C438" s="17">
        <f>SUM('Daily Input'!D208:D214)</f>
        <v>0</v>
      </c>
      <c r="D438" s="17">
        <f>SUM('Daily Input'!E208:E214)</f>
        <v>0</v>
      </c>
      <c r="E438" s="36">
        <f t="shared" ref="E438:F438" si="379">IF(B438=0,0,C438/B438)</f>
        <v>0</v>
      </c>
      <c r="F438" s="36">
        <f t="shared" si="379"/>
        <v>0</v>
      </c>
    </row>
    <row r="439" ht="15.75" customHeight="1">
      <c r="A439" s="35" t="s">
        <v>2</v>
      </c>
      <c r="B439" s="17">
        <f>SUM('Daily Input'!F208:F214)</f>
        <v>0</v>
      </c>
      <c r="C439" s="17">
        <f>SUM('Daily Input'!G208:G214)</f>
        <v>0</v>
      </c>
      <c r="D439" s="17">
        <f>SUM('Daily Input'!H208:H214)</f>
        <v>0</v>
      </c>
      <c r="E439" s="36">
        <f t="shared" ref="E439:F439" si="380">IF(B439=0,0,C439/B439)</f>
        <v>0</v>
      </c>
      <c r="F439" s="36">
        <f t="shared" si="380"/>
        <v>0</v>
      </c>
    </row>
    <row r="440" ht="15.75" customHeight="1">
      <c r="A440" s="35" t="s">
        <v>3</v>
      </c>
      <c r="B440" s="17">
        <f>SUM('Daily Input'!I208:I214)</f>
        <v>0</v>
      </c>
      <c r="C440" s="17">
        <f>SUM('Daily Input'!J208:J214)</f>
        <v>0</v>
      </c>
      <c r="D440" s="17">
        <f>SUM('Daily Input'!K208:K214)</f>
        <v>0</v>
      </c>
      <c r="E440" s="36">
        <f t="shared" ref="E440:F440" si="381">IF(B440=0,0,C440/B440)</f>
        <v>0</v>
      </c>
      <c r="F440" s="36">
        <f t="shared" si="381"/>
        <v>0</v>
      </c>
    </row>
    <row r="441" ht="15.75" customHeight="1">
      <c r="A441" s="35" t="s">
        <v>4</v>
      </c>
      <c r="B441" s="17">
        <f>SUM('Daily Input'!L208:L214)</f>
        <v>0</v>
      </c>
      <c r="C441" s="17">
        <f>SUM('Daily Input'!M208:M214)</f>
        <v>0</v>
      </c>
      <c r="D441" s="17">
        <f>SUM('Daily Input'!N208:N214)</f>
        <v>0</v>
      </c>
      <c r="E441" s="36">
        <f t="shared" ref="E441:F441" si="382">IF(B441=0,0,C441/B441)</f>
        <v>0</v>
      </c>
      <c r="F441" s="36">
        <f t="shared" si="382"/>
        <v>0</v>
      </c>
    </row>
    <row r="442" ht="15.75" customHeight="1">
      <c r="A442" s="35" t="s">
        <v>5</v>
      </c>
      <c r="B442" s="17">
        <f>SUM('Daily Input'!O208:O214)</f>
        <v>0</v>
      </c>
      <c r="C442" s="17">
        <f>SUM('Daily Input'!P208:P214)</f>
        <v>0</v>
      </c>
      <c r="D442" s="17">
        <f>SUM('Daily Input'!Q208:Q214)</f>
        <v>0</v>
      </c>
      <c r="E442" s="36">
        <f t="shared" ref="E442:F442" si="383">IF(B442=0,0,C442/B442)</f>
        <v>0</v>
      </c>
      <c r="F442" s="36">
        <f t="shared" si="383"/>
        <v>0</v>
      </c>
    </row>
    <row r="443" ht="15.75" customHeight="1">
      <c r="A443" s="35" t="s">
        <v>6</v>
      </c>
      <c r="B443" s="17">
        <f>SUM('Daily Input'!R208:R214)</f>
        <v>0</v>
      </c>
      <c r="C443" s="17">
        <f>SUM('Daily Input'!S208:S214)</f>
        <v>0</v>
      </c>
      <c r="D443" s="17">
        <f>SUM('Daily Input'!T208:T214)</f>
        <v>0</v>
      </c>
      <c r="E443" s="36">
        <f t="shared" ref="E443:F443" si="384">IF(B443=0,0,C443/B443)</f>
        <v>0</v>
      </c>
      <c r="F443" s="36">
        <f t="shared" si="384"/>
        <v>0</v>
      </c>
    </row>
    <row r="444" ht="15.75" customHeight="1">
      <c r="A444" s="35" t="s">
        <v>7</v>
      </c>
      <c r="B444" s="17">
        <f>SUM('Daily Input'!U208:U214)</f>
        <v>0</v>
      </c>
      <c r="C444" s="17">
        <f>SUM('Daily Input'!V208:V214)</f>
        <v>0</v>
      </c>
      <c r="D444" s="17">
        <f>SUM('Daily Input'!W208:W214)</f>
        <v>0</v>
      </c>
      <c r="E444" s="36">
        <f t="shared" ref="E444:F444" si="385">IF(B444=0,0,C444/B444)</f>
        <v>0</v>
      </c>
      <c r="F444" s="36">
        <f t="shared" si="385"/>
        <v>0</v>
      </c>
    </row>
    <row r="445" ht="15.75" customHeight="1">
      <c r="A445" s="35" t="s">
        <v>8</v>
      </c>
      <c r="B445" s="17">
        <f>SUM('Daily Input'!X208:X214)</f>
        <v>0</v>
      </c>
      <c r="C445" s="17">
        <f>SUM('Daily Input'!Y208:Y214)</f>
        <v>0</v>
      </c>
      <c r="D445" s="17">
        <f>SUM('Daily Input'!Z208:Z214)</f>
        <v>0</v>
      </c>
      <c r="E445" s="36">
        <f t="shared" ref="E445:F445" si="386">IF(B445=0,0,C445/B445)</f>
        <v>0</v>
      </c>
      <c r="F445" s="36">
        <f t="shared" si="386"/>
        <v>0</v>
      </c>
    </row>
    <row r="446" ht="15.75" customHeight="1">
      <c r="A446" s="35" t="s">
        <v>9</v>
      </c>
      <c r="B446" s="17">
        <f>SUM('Daily Input'!AA208:AA214)</f>
        <v>0</v>
      </c>
      <c r="C446" s="17">
        <f>SUM('Daily Input'!AB208:AB214)</f>
        <v>0</v>
      </c>
      <c r="D446" s="17">
        <f>SUM('Daily Input'!AC208:AC214)</f>
        <v>0</v>
      </c>
      <c r="E446" s="36">
        <f t="shared" ref="E446:F446" si="387">IF(B446=0,0,C446/B446)</f>
        <v>0</v>
      </c>
      <c r="F446" s="36">
        <f t="shared" si="387"/>
        <v>0</v>
      </c>
    </row>
    <row r="447" ht="15.75" customHeight="1">
      <c r="A447" s="35" t="s">
        <v>10</v>
      </c>
      <c r="B447" s="17">
        <f>SUM('Daily Input'!AD208:AD214)</f>
        <v>0</v>
      </c>
      <c r="C447" s="17">
        <f>SUM('Daily Input'!AE208:AE214)</f>
        <v>0</v>
      </c>
      <c r="D447" s="17">
        <f>SUM('Daily Input'!AF208:AF214)</f>
        <v>0</v>
      </c>
      <c r="E447" s="36">
        <f t="shared" ref="E447:F447" si="388">IF(B447=0,0,C447/B447)</f>
        <v>0</v>
      </c>
      <c r="F447" s="36">
        <f t="shared" si="388"/>
        <v>0</v>
      </c>
    </row>
    <row r="448" ht="15.75" customHeight="1">
      <c r="A448" s="35" t="s">
        <v>11</v>
      </c>
      <c r="B448" s="17">
        <f>SUM('Daily Input'!AG208:AG214)</f>
        <v>0</v>
      </c>
      <c r="C448" s="17">
        <f>SUM('Daily Input'!AH208:AH214)</f>
        <v>0</v>
      </c>
      <c r="D448" s="17">
        <f>SUM('Daily Input'!AI208:AI214)</f>
        <v>0</v>
      </c>
      <c r="E448" s="36">
        <f t="shared" ref="E448:F448" si="389">IF(B448=0,0,C448/B448)</f>
        <v>0</v>
      </c>
      <c r="F448" s="36">
        <f t="shared" si="389"/>
        <v>0</v>
      </c>
    </row>
    <row r="449" ht="15.75" customHeight="1">
      <c r="A449" s="35" t="s">
        <v>12</v>
      </c>
      <c r="B449" s="17">
        <f>SUM('Daily Input'!AJ208:AJ214)</f>
        <v>0</v>
      </c>
      <c r="C449" s="17">
        <f>SUM('Daily Input'!AK208:AK214)</f>
        <v>0</v>
      </c>
      <c r="D449" s="17">
        <f>SUM('Daily Input'!AL208:AL214)</f>
        <v>0</v>
      </c>
      <c r="E449" s="36">
        <f t="shared" ref="E449:F449" si="390">IF(B449=0,0,C449/B449)</f>
        <v>0</v>
      </c>
      <c r="F449" s="36">
        <f t="shared" si="390"/>
        <v>0</v>
      </c>
    </row>
    <row r="450" ht="15.75" customHeight="1">
      <c r="A450" s="37" t="s">
        <v>59</v>
      </c>
      <c r="B450" s="29">
        <f t="shared" ref="B450:D450" si="391">SUM(B438:B449)</f>
        <v>0</v>
      </c>
      <c r="C450" s="29">
        <f t="shared" si="391"/>
        <v>0</v>
      </c>
      <c r="D450" s="29">
        <f t="shared" si="391"/>
        <v>0</v>
      </c>
      <c r="E450" s="30">
        <f t="shared" ref="E450:F450" si="392">IF(B450=0,0,C450/B450)</f>
        <v>0</v>
      </c>
      <c r="F450" s="30">
        <f t="shared" si="392"/>
        <v>0</v>
      </c>
    </row>
    <row r="451" ht="15.75" customHeight="1"/>
    <row r="452" ht="15.75" customHeight="1">
      <c r="A452" s="33" t="s">
        <v>87</v>
      </c>
      <c r="B452" s="4"/>
      <c r="C452" s="4"/>
      <c r="D452" s="4"/>
      <c r="E452" s="4"/>
      <c r="F452" s="4"/>
      <c r="G452" s="4"/>
      <c r="H452" s="5"/>
    </row>
    <row r="453" ht="15.75" customHeight="1">
      <c r="A453" s="34" t="s">
        <v>55</v>
      </c>
      <c r="B453" s="34" t="s">
        <v>16</v>
      </c>
      <c r="C453" s="34" t="s">
        <v>17</v>
      </c>
      <c r="D453" s="34" t="s">
        <v>56</v>
      </c>
      <c r="E453" s="34" t="s">
        <v>57</v>
      </c>
      <c r="F453" s="34" t="s">
        <v>58</v>
      </c>
    </row>
    <row r="454" ht="15.75" customHeight="1">
      <c r="A454" s="35" t="s">
        <v>1</v>
      </c>
      <c r="B454" s="17">
        <f>SUM('Daily Input'!C215:C221)</f>
        <v>0</v>
      </c>
      <c r="C454" s="17">
        <f>SUM('Daily Input'!D215:D221)</f>
        <v>0</v>
      </c>
      <c r="D454" s="17">
        <f>SUM('Daily Input'!E215:E221)</f>
        <v>0</v>
      </c>
      <c r="E454" s="36">
        <f t="shared" ref="E454:F454" si="393">IF(B454=0,0,C454/B454)</f>
        <v>0</v>
      </c>
      <c r="F454" s="36">
        <f t="shared" si="393"/>
        <v>0</v>
      </c>
    </row>
    <row r="455" ht="15.75" customHeight="1">
      <c r="A455" s="35" t="s">
        <v>2</v>
      </c>
      <c r="B455" s="17">
        <f>SUM('Daily Input'!F215:F221)</f>
        <v>0</v>
      </c>
      <c r="C455" s="17">
        <f>SUM('Daily Input'!G215:G221)</f>
        <v>0</v>
      </c>
      <c r="D455" s="17">
        <f>SUM('Daily Input'!H215:H221)</f>
        <v>0</v>
      </c>
      <c r="E455" s="36">
        <f t="shared" ref="E455:F455" si="394">IF(B455=0,0,C455/B455)</f>
        <v>0</v>
      </c>
      <c r="F455" s="36">
        <f t="shared" si="394"/>
        <v>0</v>
      </c>
    </row>
    <row r="456" ht="15.75" customHeight="1">
      <c r="A456" s="35" t="s">
        <v>3</v>
      </c>
      <c r="B456" s="17">
        <f>SUM('Daily Input'!I215:I221)</f>
        <v>0</v>
      </c>
      <c r="C456" s="17">
        <f>SUM('Daily Input'!J215:J221)</f>
        <v>0</v>
      </c>
      <c r="D456" s="17">
        <f>SUM('Daily Input'!K215:K221)</f>
        <v>0</v>
      </c>
      <c r="E456" s="36">
        <f t="shared" ref="E456:F456" si="395">IF(B456=0,0,C456/B456)</f>
        <v>0</v>
      </c>
      <c r="F456" s="36">
        <f t="shared" si="395"/>
        <v>0</v>
      </c>
    </row>
    <row r="457" ht="15.75" customHeight="1">
      <c r="A457" s="35" t="s">
        <v>4</v>
      </c>
      <c r="B457" s="17">
        <f>SUM('Daily Input'!L215:L221)</f>
        <v>0</v>
      </c>
      <c r="C457" s="17">
        <f>SUM('Daily Input'!M215:M221)</f>
        <v>0</v>
      </c>
      <c r="D457" s="17">
        <f>SUM('Daily Input'!N215:N221)</f>
        <v>0</v>
      </c>
      <c r="E457" s="36">
        <f t="shared" ref="E457:F457" si="396">IF(B457=0,0,C457/B457)</f>
        <v>0</v>
      </c>
      <c r="F457" s="36">
        <f t="shared" si="396"/>
        <v>0</v>
      </c>
    </row>
    <row r="458" ht="15.75" customHeight="1">
      <c r="A458" s="35" t="s">
        <v>5</v>
      </c>
      <c r="B458" s="17">
        <f>SUM('Daily Input'!O215:O221)</f>
        <v>0</v>
      </c>
      <c r="C458" s="17">
        <f>SUM('Daily Input'!P215:P221)</f>
        <v>0</v>
      </c>
      <c r="D458" s="17">
        <f>SUM('Daily Input'!Q215:Q221)</f>
        <v>0</v>
      </c>
      <c r="E458" s="36">
        <f t="shared" ref="E458:F458" si="397">IF(B458=0,0,C458/B458)</f>
        <v>0</v>
      </c>
      <c r="F458" s="36">
        <f t="shared" si="397"/>
        <v>0</v>
      </c>
    </row>
    <row r="459" ht="15.75" customHeight="1">
      <c r="A459" s="35" t="s">
        <v>6</v>
      </c>
      <c r="B459" s="17">
        <f>SUM('Daily Input'!R215:R221)</f>
        <v>0</v>
      </c>
      <c r="C459" s="17">
        <f>SUM('Daily Input'!S215:S221)</f>
        <v>0</v>
      </c>
      <c r="D459" s="17">
        <f>SUM('Daily Input'!T215:T221)</f>
        <v>0</v>
      </c>
      <c r="E459" s="36">
        <f t="shared" ref="E459:F459" si="398">IF(B459=0,0,C459/B459)</f>
        <v>0</v>
      </c>
      <c r="F459" s="36">
        <f t="shared" si="398"/>
        <v>0</v>
      </c>
    </row>
    <row r="460" ht="15.75" customHeight="1">
      <c r="A460" s="35" t="s">
        <v>7</v>
      </c>
      <c r="B460" s="17">
        <f>SUM('Daily Input'!U215:U221)</f>
        <v>0</v>
      </c>
      <c r="C460" s="17">
        <f>SUM('Daily Input'!V215:V221)</f>
        <v>0</v>
      </c>
      <c r="D460" s="17">
        <f>SUM('Daily Input'!W215:W221)</f>
        <v>0</v>
      </c>
      <c r="E460" s="36">
        <f t="shared" ref="E460:F460" si="399">IF(B460=0,0,C460/B460)</f>
        <v>0</v>
      </c>
      <c r="F460" s="36">
        <f t="shared" si="399"/>
        <v>0</v>
      </c>
    </row>
    <row r="461" ht="15.75" customHeight="1">
      <c r="A461" s="35" t="s">
        <v>8</v>
      </c>
      <c r="B461" s="17">
        <f>SUM('Daily Input'!X215:X221)</f>
        <v>0</v>
      </c>
      <c r="C461" s="17">
        <f>SUM('Daily Input'!Y215:Y221)</f>
        <v>0</v>
      </c>
      <c r="D461" s="17">
        <f>SUM('Daily Input'!Z215:Z221)</f>
        <v>0</v>
      </c>
      <c r="E461" s="36">
        <f t="shared" ref="E461:F461" si="400">IF(B461=0,0,C461/B461)</f>
        <v>0</v>
      </c>
      <c r="F461" s="36">
        <f t="shared" si="400"/>
        <v>0</v>
      </c>
    </row>
    <row r="462" ht="15.75" customHeight="1">
      <c r="A462" s="35" t="s">
        <v>9</v>
      </c>
      <c r="B462" s="17">
        <f>SUM('Daily Input'!AA215:AA221)</f>
        <v>0</v>
      </c>
      <c r="C462" s="17">
        <f>SUM('Daily Input'!AB215:AB221)</f>
        <v>0</v>
      </c>
      <c r="D462" s="17">
        <f>SUM('Daily Input'!AC215:AC221)</f>
        <v>0</v>
      </c>
      <c r="E462" s="36">
        <f t="shared" ref="E462:F462" si="401">IF(B462=0,0,C462/B462)</f>
        <v>0</v>
      </c>
      <c r="F462" s="36">
        <f t="shared" si="401"/>
        <v>0</v>
      </c>
    </row>
    <row r="463" ht="15.75" customHeight="1">
      <c r="A463" s="35" t="s">
        <v>10</v>
      </c>
      <c r="B463" s="17">
        <f>SUM('Daily Input'!AD215:AD221)</f>
        <v>0</v>
      </c>
      <c r="C463" s="17">
        <f>SUM('Daily Input'!AE215:AE221)</f>
        <v>0</v>
      </c>
      <c r="D463" s="17">
        <f>SUM('Daily Input'!AF215:AF221)</f>
        <v>0</v>
      </c>
      <c r="E463" s="36">
        <f t="shared" ref="E463:F463" si="402">IF(B463=0,0,C463/B463)</f>
        <v>0</v>
      </c>
      <c r="F463" s="36">
        <f t="shared" si="402"/>
        <v>0</v>
      </c>
    </row>
    <row r="464" ht="15.75" customHeight="1">
      <c r="A464" s="35" t="s">
        <v>11</v>
      </c>
      <c r="B464" s="17">
        <f>SUM('Daily Input'!AG215:AG221)</f>
        <v>0</v>
      </c>
      <c r="C464" s="17">
        <f>SUM('Daily Input'!AH215:AH221)</f>
        <v>0</v>
      </c>
      <c r="D464" s="17">
        <f>SUM('Daily Input'!AI215:AI221)</f>
        <v>0</v>
      </c>
      <c r="E464" s="36">
        <f t="shared" ref="E464:F464" si="403">IF(B464=0,0,C464/B464)</f>
        <v>0</v>
      </c>
      <c r="F464" s="36">
        <f t="shared" si="403"/>
        <v>0</v>
      </c>
    </row>
    <row r="465" ht="15.75" customHeight="1">
      <c r="A465" s="35" t="s">
        <v>12</v>
      </c>
      <c r="B465" s="17">
        <f>SUM('Daily Input'!AJ215:AJ221)</f>
        <v>0</v>
      </c>
      <c r="C465" s="17">
        <f>SUM('Daily Input'!AK215:AK221)</f>
        <v>0</v>
      </c>
      <c r="D465" s="17">
        <f>SUM('Daily Input'!AL215:AL221)</f>
        <v>0</v>
      </c>
      <c r="E465" s="36">
        <f t="shared" ref="E465:F465" si="404">IF(B465=0,0,C465/B465)</f>
        <v>0</v>
      </c>
      <c r="F465" s="36">
        <f t="shared" si="404"/>
        <v>0</v>
      </c>
    </row>
    <row r="466" ht="15.75" customHeight="1">
      <c r="A466" s="37" t="s">
        <v>59</v>
      </c>
      <c r="B466" s="29">
        <f t="shared" ref="B466:D466" si="405">SUM(B454:B465)</f>
        <v>0</v>
      </c>
      <c r="C466" s="29">
        <f t="shared" si="405"/>
        <v>0</v>
      </c>
      <c r="D466" s="29">
        <f t="shared" si="405"/>
        <v>0</v>
      </c>
      <c r="E466" s="30">
        <f t="shared" ref="E466:F466" si="406">IF(B466=0,0,C466/B466)</f>
        <v>0</v>
      </c>
      <c r="F466" s="30">
        <f t="shared" si="406"/>
        <v>0</v>
      </c>
    </row>
    <row r="467" ht="15.75" customHeight="1"/>
    <row r="468" ht="15.75" customHeight="1">
      <c r="A468" s="33" t="s">
        <v>88</v>
      </c>
      <c r="B468" s="4"/>
      <c r="C468" s="4"/>
      <c r="D468" s="4"/>
      <c r="E468" s="4"/>
      <c r="F468" s="4"/>
      <c r="G468" s="4"/>
      <c r="H468" s="5"/>
    </row>
    <row r="469" ht="15.75" customHeight="1">
      <c r="A469" s="34" t="s">
        <v>55</v>
      </c>
      <c r="B469" s="34" t="s">
        <v>16</v>
      </c>
      <c r="C469" s="34" t="s">
        <v>17</v>
      </c>
      <c r="D469" s="34" t="s">
        <v>56</v>
      </c>
      <c r="E469" s="34" t="s">
        <v>57</v>
      </c>
      <c r="F469" s="34" t="s">
        <v>58</v>
      </c>
    </row>
    <row r="470" ht="15.75" customHeight="1">
      <c r="A470" s="35" t="s">
        <v>1</v>
      </c>
      <c r="B470" s="17">
        <f>SUM('Daily Input'!C222:C228)</f>
        <v>0</v>
      </c>
      <c r="C470" s="17">
        <f>SUM('Daily Input'!D222:D228)</f>
        <v>0</v>
      </c>
      <c r="D470" s="17">
        <f>SUM('Daily Input'!E222:E228)</f>
        <v>0</v>
      </c>
      <c r="E470" s="36">
        <f t="shared" ref="E470:F470" si="407">IF(B470=0,0,C470/B470)</f>
        <v>0</v>
      </c>
      <c r="F470" s="36">
        <f t="shared" si="407"/>
        <v>0</v>
      </c>
    </row>
    <row r="471" ht="15.75" customHeight="1">
      <c r="A471" s="35" t="s">
        <v>2</v>
      </c>
      <c r="B471" s="17">
        <f>SUM('Daily Input'!F222:F228)</f>
        <v>0</v>
      </c>
      <c r="C471" s="17">
        <f>SUM('Daily Input'!G222:G228)</f>
        <v>0</v>
      </c>
      <c r="D471" s="17">
        <f>SUM('Daily Input'!H222:H228)</f>
        <v>0</v>
      </c>
      <c r="E471" s="36">
        <f t="shared" ref="E471:F471" si="408">IF(B471=0,0,C471/B471)</f>
        <v>0</v>
      </c>
      <c r="F471" s="36">
        <f t="shared" si="408"/>
        <v>0</v>
      </c>
    </row>
    <row r="472" ht="15.75" customHeight="1">
      <c r="A472" s="35" t="s">
        <v>3</v>
      </c>
      <c r="B472" s="17">
        <f>SUM('Daily Input'!I222:I228)</f>
        <v>0</v>
      </c>
      <c r="C472" s="17">
        <f>SUM('Daily Input'!J222:J228)</f>
        <v>0</v>
      </c>
      <c r="D472" s="17">
        <f>SUM('Daily Input'!K222:K228)</f>
        <v>0</v>
      </c>
      <c r="E472" s="36">
        <f t="shared" ref="E472:F472" si="409">IF(B472=0,0,C472/B472)</f>
        <v>0</v>
      </c>
      <c r="F472" s="36">
        <f t="shared" si="409"/>
        <v>0</v>
      </c>
    </row>
    <row r="473" ht="15.75" customHeight="1">
      <c r="A473" s="35" t="s">
        <v>4</v>
      </c>
      <c r="B473" s="17">
        <f>SUM('Daily Input'!L222:L228)</f>
        <v>0</v>
      </c>
      <c r="C473" s="17">
        <f>SUM('Daily Input'!M222:M228)</f>
        <v>0</v>
      </c>
      <c r="D473" s="17">
        <f>SUM('Daily Input'!N222:N228)</f>
        <v>0</v>
      </c>
      <c r="E473" s="36">
        <f t="shared" ref="E473:F473" si="410">IF(B473=0,0,C473/B473)</f>
        <v>0</v>
      </c>
      <c r="F473" s="36">
        <f t="shared" si="410"/>
        <v>0</v>
      </c>
    </row>
    <row r="474" ht="15.75" customHeight="1">
      <c r="A474" s="35" t="s">
        <v>5</v>
      </c>
      <c r="B474" s="17">
        <f>SUM('Daily Input'!O222:O228)</f>
        <v>0</v>
      </c>
      <c r="C474" s="17">
        <f>SUM('Daily Input'!P222:P228)</f>
        <v>0</v>
      </c>
      <c r="D474" s="17">
        <f>SUM('Daily Input'!Q222:Q228)</f>
        <v>0</v>
      </c>
      <c r="E474" s="36">
        <f t="shared" ref="E474:F474" si="411">IF(B474=0,0,C474/B474)</f>
        <v>0</v>
      </c>
      <c r="F474" s="36">
        <f t="shared" si="411"/>
        <v>0</v>
      </c>
    </row>
    <row r="475" ht="15.75" customHeight="1">
      <c r="A475" s="35" t="s">
        <v>6</v>
      </c>
      <c r="B475" s="17">
        <f>SUM('Daily Input'!R222:R228)</f>
        <v>0</v>
      </c>
      <c r="C475" s="17">
        <f>SUM('Daily Input'!S222:S228)</f>
        <v>0</v>
      </c>
      <c r="D475" s="17">
        <f>SUM('Daily Input'!T222:T228)</f>
        <v>0</v>
      </c>
      <c r="E475" s="36">
        <f t="shared" ref="E475:F475" si="412">IF(B475=0,0,C475/B475)</f>
        <v>0</v>
      </c>
      <c r="F475" s="36">
        <f t="shared" si="412"/>
        <v>0</v>
      </c>
    </row>
    <row r="476" ht="15.75" customHeight="1">
      <c r="A476" s="35" t="s">
        <v>7</v>
      </c>
      <c r="B476" s="17">
        <f>SUM('Daily Input'!U222:U228)</f>
        <v>0</v>
      </c>
      <c r="C476" s="17">
        <f>SUM('Daily Input'!V222:V228)</f>
        <v>0</v>
      </c>
      <c r="D476" s="17">
        <f>SUM('Daily Input'!W222:W228)</f>
        <v>0</v>
      </c>
      <c r="E476" s="36">
        <f t="shared" ref="E476:F476" si="413">IF(B476=0,0,C476/B476)</f>
        <v>0</v>
      </c>
      <c r="F476" s="36">
        <f t="shared" si="413"/>
        <v>0</v>
      </c>
    </row>
    <row r="477" ht="15.75" customHeight="1">
      <c r="A477" s="35" t="s">
        <v>8</v>
      </c>
      <c r="B477" s="17">
        <f>SUM('Daily Input'!X222:X228)</f>
        <v>0</v>
      </c>
      <c r="C477" s="17">
        <f>SUM('Daily Input'!Y222:Y228)</f>
        <v>0</v>
      </c>
      <c r="D477" s="17">
        <f>SUM('Daily Input'!Z222:Z228)</f>
        <v>0</v>
      </c>
      <c r="E477" s="36">
        <f t="shared" ref="E477:F477" si="414">IF(B477=0,0,C477/B477)</f>
        <v>0</v>
      </c>
      <c r="F477" s="36">
        <f t="shared" si="414"/>
        <v>0</v>
      </c>
    </row>
    <row r="478" ht="15.75" customHeight="1">
      <c r="A478" s="35" t="s">
        <v>9</v>
      </c>
      <c r="B478" s="17">
        <f>SUM('Daily Input'!AA222:AA228)</f>
        <v>0</v>
      </c>
      <c r="C478" s="17">
        <f>SUM('Daily Input'!AB222:AB228)</f>
        <v>0</v>
      </c>
      <c r="D478" s="17">
        <f>SUM('Daily Input'!AC222:AC228)</f>
        <v>0</v>
      </c>
      <c r="E478" s="36">
        <f t="shared" ref="E478:F478" si="415">IF(B478=0,0,C478/B478)</f>
        <v>0</v>
      </c>
      <c r="F478" s="36">
        <f t="shared" si="415"/>
        <v>0</v>
      </c>
    </row>
    <row r="479" ht="15.75" customHeight="1">
      <c r="A479" s="35" t="s">
        <v>10</v>
      </c>
      <c r="B479" s="17">
        <f>SUM('Daily Input'!AD222:AD228)</f>
        <v>0</v>
      </c>
      <c r="C479" s="17">
        <f>SUM('Daily Input'!AE222:AE228)</f>
        <v>0</v>
      </c>
      <c r="D479" s="17">
        <f>SUM('Daily Input'!AF222:AF228)</f>
        <v>0</v>
      </c>
      <c r="E479" s="36">
        <f t="shared" ref="E479:F479" si="416">IF(B479=0,0,C479/B479)</f>
        <v>0</v>
      </c>
      <c r="F479" s="36">
        <f t="shared" si="416"/>
        <v>0</v>
      </c>
    </row>
    <row r="480" ht="15.75" customHeight="1">
      <c r="A480" s="35" t="s">
        <v>11</v>
      </c>
      <c r="B480" s="17">
        <f>SUM('Daily Input'!AG222:AG228)</f>
        <v>0</v>
      </c>
      <c r="C480" s="17">
        <f>SUM('Daily Input'!AH222:AH228)</f>
        <v>0</v>
      </c>
      <c r="D480" s="17">
        <f>SUM('Daily Input'!AI222:AI228)</f>
        <v>0</v>
      </c>
      <c r="E480" s="36">
        <f t="shared" ref="E480:F480" si="417">IF(B480=0,0,C480/B480)</f>
        <v>0</v>
      </c>
      <c r="F480" s="36">
        <f t="shared" si="417"/>
        <v>0</v>
      </c>
    </row>
    <row r="481" ht="15.75" customHeight="1">
      <c r="A481" s="35" t="s">
        <v>12</v>
      </c>
      <c r="B481" s="17">
        <f>SUM('Daily Input'!AJ222:AJ228)</f>
        <v>0</v>
      </c>
      <c r="C481" s="17">
        <f>SUM('Daily Input'!AK222:AK228)</f>
        <v>0</v>
      </c>
      <c r="D481" s="17">
        <f>SUM('Daily Input'!AL222:AL228)</f>
        <v>0</v>
      </c>
      <c r="E481" s="36">
        <f t="shared" ref="E481:F481" si="418">IF(B481=0,0,C481/B481)</f>
        <v>0</v>
      </c>
      <c r="F481" s="36">
        <f t="shared" si="418"/>
        <v>0</v>
      </c>
    </row>
    <row r="482" ht="15.75" customHeight="1">
      <c r="A482" s="37" t="s">
        <v>59</v>
      </c>
      <c r="B482" s="29">
        <f t="shared" ref="B482:D482" si="419">SUM(B470:B481)</f>
        <v>0</v>
      </c>
      <c r="C482" s="29">
        <f t="shared" si="419"/>
        <v>0</v>
      </c>
      <c r="D482" s="29">
        <f t="shared" si="419"/>
        <v>0</v>
      </c>
      <c r="E482" s="30">
        <f t="shared" ref="E482:F482" si="420">IF(B482=0,0,C482/B482)</f>
        <v>0</v>
      </c>
      <c r="F482" s="30">
        <f t="shared" si="420"/>
        <v>0</v>
      </c>
    </row>
    <row r="483" ht="15.75" customHeight="1"/>
    <row r="484" ht="15.75" customHeight="1">
      <c r="A484" s="33" t="s">
        <v>89</v>
      </c>
      <c r="B484" s="4"/>
      <c r="C484" s="4"/>
      <c r="D484" s="4"/>
      <c r="E484" s="4"/>
      <c r="F484" s="4"/>
      <c r="G484" s="4"/>
      <c r="H484" s="5"/>
    </row>
    <row r="485" ht="15.75" customHeight="1">
      <c r="A485" s="34" t="s">
        <v>55</v>
      </c>
      <c r="B485" s="34" t="s">
        <v>16</v>
      </c>
      <c r="C485" s="34" t="s">
        <v>17</v>
      </c>
      <c r="D485" s="34" t="s">
        <v>56</v>
      </c>
      <c r="E485" s="34" t="s">
        <v>57</v>
      </c>
      <c r="F485" s="34" t="s">
        <v>58</v>
      </c>
    </row>
    <row r="486" ht="15.75" customHeight="1">
      <c r="A486" s="35" t="s">
        <v>1</v>
      </c>
      <c r="B486" s="17">
        <f>SUM('Daily Input'!C229:C238)</f>
        <v>0</v>
      </c>
      <c r="C486" s="17">
        <f>SUM('Daily Input'!D229:D238)</f>
        <v>0</v>
      </c>
      <c r="D486" s="17">
        <f>SUM('Daily Input'!E229:E238)</f>
        <v>0</v>
      </c>
      <c r="E486" s="36">
        <f t="shared" ref="E486:F486" si="421">IF(B486=0,0,C486/B486)</f>
        <v>0</v>
      </c>
      <c r="F486" s="36">
        <f t="shared" si="421"/>
        <v>0</v>
      </c>
    </row>
    <row r="487" ht="15.75" customHeight="1">
      <c r="A487" s="35" t="s">
        <v>2</v>
      </c>
      <c r="B487" s="17">
        <f>SUM('Daily Input'!F229:F238)</f>
        <v>0</v>
      </c>
      <c r="C487" s="17">
        <f>SUM('Daily Input'!G229:G238)</f>
        <v>0</v>
      </c>
      <c r="D487" s="17">
        <f>SUM('Daily Input'!H229:H238)</f>
        <v>0</v>
      </c>
      <c r="E487" s="36">
        <f t="shared" ref="E487:F487" si="422">IF(B487=0,0,C487/B487)</f>
        <v>0</v>
      </c>
      <c r="F487" s="36">
        <f t="shared" si="422"/>
        <v>0</v>
      </c>
    </row>
    <row r="488" ht="15.75" customHeight="1">
      <c r="A488" s="35" t="s">
        <v>3</v>
      </c>
      <c r="B488" s="17">
        <f>SUM('Daily Input'!I229:I238)</f>
        <v>0</v>
      </c>
      <c r="C488" s="17">
        <f>SUM('Daily Input'!J229:J238)</f>
        <v>0</v>
      </c>
      <c r="D488" s="17">
        <f>SUM('Daily Input'!K229:K238)</f>
        <v>0</v>
      </c>
      <c r="E488" s="36">
        <f t="shared" ref="E488:F488" si="423">IF(B488=0,0,C488/B488)</f>
        <v>0</v>
      </c>
      <c r="F488" s="36">
        <f t="shared" si="423"/>
        <v>0</v>
      </c>
    </row>
    <row r="489" ht="15.75" customHeight="1">
      <c r="A489" s="35" t="s">
        <v>4</v>
      </c>
      <c r="B489" s="17">
        <f>SUM('Daily Input'!L229:L238)</f>
        <v>0</v>
      </c>
      <c r="C489" s="17">
        <f>SUM('Daily Input'!M229:M238)</f>
        <v>0</v>
      </c>
      <c r="D489" s="17">
        <f>SUM('Daily Input'!N229:N238)</f>
        <v>0</v>
      </c>
      <c r="E489" s="36">
        <f t="shared" ref="E489:F489" si="424">IF(B489=0,0,C489/B489)</f>
        <v>0</v>
      </c>
      <c r="F489" s="36">
        <f t="shared" si="424"/>
        <v>0</v>
      </c>
    </row>
    <row r="490" ht="15.75" customHeight="1">
      <c r="A490" s="35" t="s">
        <v>5</v>
      </c>
      <c r="B490" s="17">
        <f>SUM('Daily Input'!O229:O238)</f>
        <v>0</v>
      </c>
      <c r="C490" s="17">
        <f>SUM('Daily Input'!P229:P238)</f>
        <v>0</v>
      </c>
      <c r="D490" s="17">
        <f>SUM('Daily Input'!Q229:Q238)</f>
        <v>0</v>
      </c>
      <c r="E490" s="36">
        <f t="shared" ref="E490:F490" si="425">IF(B490=0,0,C490/B490)</f>
        <v>0</v>
      </c>
      <c r="F490" s="36">
        <f t="shared" si="425"/>
        <v>0</v>
      </c>
    </row>
    <row r="491" ht="15.75" customHeight="1">
      <c r="A491" s="35" t="s">
        <v>6</v>
      </c>
      <c r="B491" s="17">
        <f>SUM('Daily Input'!R229:R238)</f>
        <v>0</v>
      </c>
      <c r="C491" s="17">
        <f>SUM('Daily Input'!S229:S238)</f>
        <v>0</v>
      </c>
      <c r="D491" s="17">
        <f>SUM('Daily Input'!T229:T238)</f>
        <v>0</v>
      </c>
      <c r="E491" s="36">
        <f t="shared" ref="E491:F491" si="426">IF(B491=0,0,C491/B491)</f>
        <v>0</v>
      </c>
      <c r="F491" s="36">
        <f t="shared" si="426"/>
        <v>0</v>
      </c>
    </row>
    <row r="492" ht="15.75" customHeight="1">
      <c r="A492" s="35" t="s">
        <v>7</v>
      </c>
      <c r="B492" s="17">
        <f>SUM('Daily Input'!U229:U238)</f>
        <v>0</v>
      </c>
      <c r="C492" s="17">
        <f>SUM('Daily Input'!V229:V238)</f>
        <v>0</v>
      </c>
      <c r="D492" s="17">
        <f>SUM('Daily Input'!W229:W238)</f>
        <v>0</v>
      </c>
      <c r="E492" s="36">
        <f t="shared" ref="E492:F492" si="427">IF(B492=0,0,C492/B492)</f>
        <v>0</v>
      </c>
      <c r="F492" s="36">
        <f t="shared" si="427"/>
        <v>0</v>
      </c>
    </row>
    <row r="493" ht="15.75" customHeight="1">
      <c r="A493" s="35" t="s">
        <v>8</v>
      </c>
      <c r="B493" s="17">
        <f>SUM('Daily Input'!X229:X238)</f>
        <v>0</v>
      </c>
      <c r="C493" s="17">
        <f>SUM('Daily Input'!Y229:Y238)</f>
        <v>0</v>
      </c>
      <c r="D493" s="17">
        <f>SUM('Daily Input'!Z229:Z238)</f>
        <v>0</v>
      </c>
      <c r="E493" s="36">
        <f t="shared" ref="E493:F493" si="428">IF(B493=0,0,C493/B493)</f>
        <v>0</v>
      </c>
      <c r="F493" s="36">
        <f t="shared" si="428"/>
        <v>0</v>
      </c>
    </row>
    <row r="494" ht="15.75" customHeight="1">
      <c r="A494" s="35" t="s">
        <v>9</v>
      </c>
      <c r="B494" s="17">
        <f>SUM('Daily Input'!AA229:AA238)</f>
        <v>0</v>
      </c>
      <c r="C494" s="17">
        <f>SUM('Daily Input'!AB229:AB238)</f>
        <v>0</v>
      </c>
      <c r="D494" s="17">
        <f>SUM('Daily Input'!AC229:AC238)</f>
        <v>0</v>
      </c>
      <c r="E494" s="36">
        <f t="shared" ref="E494:F494" si="429">IF(B494=0,0,C494/B494)</f>
        <v>0</v>
      </c>
      <c r="F494" s="36">
        <f t="shared" si="429"/>
        <v>0</v>
      </c>
    </row>
    <row r="495" ht="15.75" customHeight="1">
      <c r="A495" s="35" t="s">
        <v>10</v>
      </c>
      <c r="B495" s="17">
        <f>SUM('Daily Input'!AD229:AD238)</f>
        <v>0</v>
      </c>
      <c r="C495" s="17">
        <f>SUM('Daily Input'!AE229:AE238)</f>
        <v>0</v>
      </c>
      <c r="D495" s="17">
        <f>SUM('Daily Input'!AF229:AF238)</f>
        <v>0</v>
      </c>
      <c r="E495" s="36">
        <f t="shared" ref="E495:F495" si="430">IF(B495=0,0,C495/B495)</f>
        <v>0</v>
      </c>
      <c r="F495" s="36">
        <f t="shared" si="430"/>
        <v>0</v>
      </c>
    </row>
    <row r="496" ht="15.75" customHeight="1">
      <c r="A496" s="35" t="s">
        <v>11</v>
      </c>
      <c r="B496" s="17">
        <f>SUM('Daily Input'!AG229:AG238)</f>
        <v>0</v>
      </c>
      <c r="C496" s="17">
        <f>SUM('Daily Input'!AH229:AH238)</f>
        <v>0</v>
      </c>
      <c r="D496" s="17">
        <f>SUM('Daily Input'!AI229:AI238)</f>
        <v>0</v>
      </c>
      <c r="E496" s="36">
        <f t="shared" ref="E496:F496" si="431">IF(B496=0,0,C496/B496)</f>
        <v>0</v>
      </c>
      <c r="F496" s="36">
        <f t="shared" si="431"/>
        <v>0</v>
      </c>
    </row>
    <row r="497" ht="15.75" customHeight="1">
      <c r="A497" s="35" t="s">
        <v>12</v>
      </c>
      <c r="B497" s="17">
        <f>SUM('Daily Input'!AJ229:AJ238)</f>
        <v>0</v>
      </c>
      <c r="C497" s="17">
        <f>SUM('Daily Input'!AK229:AK238)</f>
        <v>0</v>
      </c>
      <c r="D497" s="17">
        <f>SUM('Daily Input'!AL229:AL238)</f>
        <v>0</v>
      </c>
      <c r="E497" s="36">
        <f t="shared" ref="E497:F497" si="432">IF(B497=0,0,C497/B497)</f>
        <v>0</v>
      </c>
      <c r="F497" s="36">
        <f t="shared" si="432"/>
        <v>0</v>
      </c>
    </row>
    <row r="498" ht="15.75" customHeight="1">
      <c r="A498" s="37" t="s">
        <v>59</v>
      </c>
      <c r="B498" s="29">
        <f t="shared" ref="B498:D498" si="433">SUM(B486:B497)</f>
        <v>0</v>
      </c>
      <c r="C498" s="29">
        <f t="shared" si="433"/>
        <v>0</v>
      </c>
      <c r="D498" s="29">
        <f t="shared" si="433"/>
        <v>0</v>
      </c>
      <c r="E498" s="30">
        <f t="shared" ref="E498:F498" si="434">IF(B498=0,0,C498/B498)</f>
        <v>0</v>
      </c>
      <c r="F498" s="30">
        <f t="shared" si="434"/>
        <v>0</v>
      </c>
    </row>
    <row r="499" ht="15.75" customHeight="1"/>
    <row r="500" ht="15.75" customHeight="1">
      <c r="A500" s="33" t="s">
        <v>90</v>
      </c>
      <c r="B500" s="4"/>
      <c r="C500" s="4"/>
      <c r="D500" s="4"/>
      <c r="E500" s="4"/>
      <c r="F500" s="4"/>
      <c r="G500" s="4"/>
      <c r="H500" s="5"/>
    </row>
    <row r="501" ht="15.75" customHeight="1">
      <c r="A501" s="34" t="s">
        <v>55</v>
      </c>
      <c r="B501" s="34" t="s">
        <v>16</v>
      </c>
      <c r="C501" s="34" t="s">
        <v>17</v>
      </c>
      <c r="D501" s="34" t="s">
        <v>56</v>
      </c>
      <c r="E501" s="34" t="s">
        <v>57</v>
      </c>
      <c r="F501" s="34" t="s">
        <v>58</v>
      </c>
    </row>
    <row r="502" ht="15.75" customHeight="1">
      <c r="A502" s="35" t="s">
        <v>1</v>
      </c>
      <c r="B502" s="17">
        <f>SUM('Daily Input'!C239:C245)</f>
        <v>0</v>
      </c>
      <c r="C502" s="17">
        <f>SUM('Daily Input'!D239:D245)</f>
        <v>0</v>
      </c>
      <c r="D502" s="17">
        <f>SUM('Daily Input'!E239:E245)</f>
        <v>0</v>
      </c>
      <c r="E502" s="36">
        <f t="shared" ref="E502:F502" si="435">IF(B502=0,0,C502/B502)</f>
        <v>0</v>
      </c>
      <c r="F502" s="36">
        <f t="shared" si="435"/>
        <v>0</v>
      </c>
    </row>
    <row r="503" ht="15.75" customHeight="1">
      <c r="A503" s="35" t="s">
        <v>2</v>
      </c>
      <c r="B503" s="17">
        <f>SUM('Daily Input'!F239:F245)</f>
        <v>0</v>
      </c>
      <c r="C503" s="17">
        <f>SUM('Daily Input'!G239:G245)</f>
        <v>0</v>
      </c>
      <c r="D503" s="17">
        <f>SUM('Daily Input'!H239:H245)</f>
        <v>0</v>
      </c>
      <c r="E503" s="36">
        <f t="shared" ref="E503:F503" si="436">IF(B503=0,0,C503/B503)</f>
        <v>0</v>
      </c>
      <c r="F503" s="36">
        <f t="shared" si="436"/>
        <v>0</v>
      </c>
    </row>
    <row r="504" ht="15.75" customHeight="1">
      <c r="A504" s="35" t="s">
        <v>3</v>
      </c>
      <c r="B504" s="17">
        <f>SUM('Daily Input'!I239:I245)</f>
        <v>0</v>
      </c>
      <c r="C504" s="17">
        <f>SUM('Daily Input'!J239:J245)</f>
        <v>0</v>
      </c>
      <c r="D504" s="17">
        <f>SUM('Daily Input'!K239:K245)</f>
        <v>0</v>
      </c>
      <c r="E504" s="36">
        <f t="shared" ref="E504:F504" si="437">IF(B504=0,0,C504/B504)</f>
        <v>0</v>
      </c>
      <c r="F504" s="36">
        <f t="shared" si="437"/>
        <v>0</v>
      </c>
    </row>
    <row r="505" ht="15.75" customHeight="1">
      <c r="A505" s="35" t="s">
        <v>4</v>
      </c>
      <c r="B505" s="17">
        <f>SUM('Daily Input'!L239:L245)</f>
        <v>0</v>
      </c>
      <c r="C505" s="17">
        <f>SUM('Daily Input'!M239:M245)</f>
        <v>0</v>
      </c>
      <c r="D505" s="17">
        <f>SUM('Daily Input'!N239:N245)</f>
        <v>0</v>
      </c>
      <c r="E505" s="36">
        <f t="shared" ref="E505:F505" si="438">IF(B505=0,0,C505/B505)</f>
        <v>0</v>
      </c>
      <c r="F505" s="36">
        <f t="shared" si="438"/>
        <v>0</v>
      </c>
    </row>
    <row r="506" ht="15.75" customHeight="1">
      <c r="A506" s="35" t="s">
        <v>5</v>
      </c>
      <c r="B506" s="17">
        <f>SUM('Daily Input'!O239:O245)</f>
        <v>0</v>
      </c>
      <c r="C506" s="17">
        <f>SUM('Daily Input'!P239:P245)</f>
        <v>0</v>
      </c>
      <c r="D506" s="17">
        <f>SUM('Daily Input'!Q239:Q245)</f>
        <v>0</v>
      </c>
      <c r="E506" s="36">
        <f t="shared" ref="E506:F506" si="439">IF(B506=0,0,C506/B506)</f>
        <v>0</v>
      </c>
      <c r="F506" s="36">
        <f t="shared" si="439"/>
        <v>0</v>
      </c>
    </row>
    <row r="507" ht="15.75" customHeight="1">
      <c r="A507" s="35" t="s">
        <v>6</v>
      </c>
      <c r="B507" s="17">
        <f>SUM('Daily Input'!R239:R245)</f>
        <v>0</v>
      </c>
      <c r="C507" s="17">
        <f>SUM('Daily Input'!S239:S245)</f>
        <v>0</v>
      </c>
      <c r="D507" s="17">
        <f>SUM('Daily Input'!T239:T245)</f>
        <v>0</v>
      </c>
      <c r="E507" s="36">
        <f t="shared" ref="E507:F507" si="440">IF(B507=0,0,C507/B507)</f>
        <v>0</v>
      </c>
      <c r="F507" s="36">
        <f t="shared" si="440"/>
        <v>0</v>
      </c>
    </row>
    <row r="508" ht="15.75" customHeight="1">
      <c r="A508" s="35" t="s">
        <v>7</v>
      </c>
      <c r="B508" s="17">
        <f>SUM('Daily Input'!U239:U245)</f>
        <v>0</v>
      </c>
      <c r="C508" s="17">
        <f>SUM('Daily Input'!V239:V245)</f>
        <v>0</v>
      </c>
      <c r="D508" s="17">
        <f>SUM('Daily Input'!W239:W245)</f>
        <v>0</v>
      </c>
      <c r="E508" s="36">
        <f t="shared" ref="E508:F508" si="441">IF(B508=0,0,C508/B508)</f>
        <v>0</v>
      </c>
      <c r="F508" s="36">
        <f t="shared" si="441"/>
        <v>0</v>
      </c>
    </row>
    <row r="509" ht="15.75" customHeight="1">
      <c r="A509" s="35" t="s">
        <v>8</v>
      </c>
      <c r="B509" s="17">
        <f>SUM('Daily Input'!X239:X245)</f>
        <v>0</v>
      </c>
      <c r="C509" s="17">
        <f>SUM('Daily Input'!Y239:Y245)</f>
        <v>0</v>
      </c>
      <c r="D509" s="17">
        <f>SUM('Daily Input'!Z239:Z245)</f>
        <v>0</v>
      </c>
      <c r="E509" s="36">
        <f t="shared" ref="E509:F509" si="442">IF(B509=0,0,C509/B509)</f>
        <v>0</v>
      </c>
      <c r="F509" s="36">
        <f t="shared" si="442"/>
        <v>0</v>
      </c>
    </row>
    <row r="510" ht="15.75" customHeight="1">
      <c r="A510" s="35" t="s">
        <v>9</v>
      </c>
      <c r="B510" s="17">
        <f>SUM('Daily Input'!AA239:AA245)</f>
        <v>0</v>
      </c>
      <c r="C510" s="17">
        <f>SUM('Daily Input'!AB239:AB245)</f>
        <v>0</v>
      </c>
      <c r="D510" s="17">
        <f>SUM('Daily Input'!AC239:AC245)</f>
        <v>0</v>
      </c>
      <c r="E510" s="36">
        <f t="shared" ref="E510:F510" si="443">IF(B510=0,0,C510/B510)</f>
        <v>0</v>
      </c>
      <c r="F510" s="36">
        <f t="shared" si="443"/>
        <v>0</v>
      </c>
    </row>
    <row r="511" ht="15.75" customHeight="1">
      <c r="A511" s="35" t="s">
        <v>10</v>
      </c>
      <c r="B511" s="17">
        <f>SUM('Daily Input'!AD239:AD245)</f>
        <v>0</v>
      </c>
      <c r="C511" s="17">
        <f>SUM('Daily Input'!AE239:AE245)</f>
        <v>0</v>
      </c>
      <c r="D511" s="17">
        <f>SUM('Daily Input'!AF239:AF245)</f>
        <v>0</v>
      </c>
      <c r="E511" s="36">
        <f t="shared" ref="E511:F511" si="444">IF(B511=0,0,C511/B511)</f>
        <v>0</v>
      </c>
      <c r="F511" s="36">
        <f t="shared" si="444"/>
        <v>0</v>
      </c>
    </row>
    <row r="512" ht="15.75" customHeight="1">
      <c r="A512" s="35" t="s">
        <v>11</v>
      </c>
      <c r="B512" s="17">
        <f>SUM('Daily Input'!AG239:AG245)</f>
        <v>0</v>
      </c>
      <c r="C512" s="17">
        <f>SUM('Daily Input'!AH239:AH245)</f>
        <v>0</v>
      </c>
      <c r="D512" s="17">
        <f>SUM('Daily Input'!AI239:AI245)</f>
        <v>0</v>
      </c>
      <c r="E512" s="36">
        <f t="shared" ref="E512:F512" si="445">IF(B512=0,0,C512/B512)</f>
        <v>0</v>
      </c>
      <c r="F512" s="36">
        <f t="shared" si="445"/>
        <v>0</v>
      </c>
    </row>
    <row r="513" ht="15.75" customHeight="1">
      <c r="A513" s="35" t="s">
        <v>12</v>
      </c>
      <c r="B513" s="17">
        <f>SUM('Daily Input'!AJ239:AJ245)</f>
        <v>0</v>
      </c>
      <c r="C513" s="17">
        <f>SUM('Daily Input'!AK239:AK245)</f>
        <v>0</v>
      </c>
      <c r="D513" s="17">
        <f>SUM('Daily Input'!AL239:AL245)</f>
        <v>0</v>
      </c>
      <c r="E513" s="36">
        <f t="shared" ref="E513:F513" si="446">IF(B513=0,0,C513/B513)</f>
        <v>0</v>
      </c>
      <c r="F513" s="36">
        <f t="shared" si="446"/>
        <v>0</v>
      </c>
    </row>
    <row r="514" ht="15.75" customHeight="1">
      <c r="A514" s="37" t="s">
        <v>59</v>
      </c>
      <c r="B514" s="29">
        <f t="shared" ref="B514:D514" si="447">SUM(B502:B513)</f>
        <v>0</v>
      </c>
      <c r="C514" s="29">
        <f t="shared" si="447"/>
        <v>0</v>
      </c>
      <c r="D514" s="29">
        <f t="shared" si="447"/>
        <v>0</v>
      </c>
      <c r="E514" s="30">
        <f t="shared" ref="E514:F514" si="448">IF(B514=0,0,C514/B514)</f>
        <v>0</v>
      </c>
      <c r="F514" s="30">
        <f t="shared" si="448"/>
        <v>0</v>
      </c>
    </row>
    <row r="515" ht="15.75" customHeight="1"/>
    <row r="516" ht="15.75" customHeight="1">
      <c r="A516" s="33" t="s">
        <v>91</v>
      </c>
      <c r="B516" s="4"/>
      <c r="C516" s="4"/>
      <c r="D516" s="4"/>
      <c r="E516" s="4"/>
      <c r="F516" s="4"/>
      <c r="G516" s="4"/>
      <c r="H516" s="5"/>
    </row>
    <row r="517" ht="15.75" customHeight="1">
      <c r="A517" s="34" t="s">
        <v>55</v>
      </c>
      <c r="B517" s="34" t="s">
        <v>16</v>
      </c>
      <c r="C517" s="34" t="s">
        <v>17</v>
      </c>
      <c r="D517" s="34" t="s">
        <v>56</v>
      </c>
      <c r="E517" s="34" t="s">
        <v>57</v>
      </c>
      <c r="F517" s="34" t="s">
        <v>58</v>
      </c>
    </row>
    <row r="518" ht="15.75" customHeight="1">
      <c r="A518" s="35" t="s">
        <v>1</v>
      </c>
      <c r="B518" s="17">
        <f>SUM('Daily Input'!C246:C252)</f>
        <v>0</v>
      </c>
      <c r="C518" s="17">
        <f>SUM('Daily Input'!D246:D252)</f>
        <v>0</v>
      </c>
      <c r="D518" s="17">
        <f>SUM('Daily Input'!E246:E252)</f>
        <v>0</v>
      </c>
      <c r="E518" s="36">
        <f t="shared" ref="E518:F518" si="449">IF(B518=0,0,C518/B518)</f>
        <v>0</v>
      </c>
      <c r="F518" s="36">
        <f t="shared" si="449"/>
        <v>0</v>
      </c>
    </row>
    <row r="519" ht="15.75" customHeight="1">
      <c r="A519" s="35" t="s">
        <v>2</v>
      </c>
      <c r="B519" s="17">
        <f>SUM('Daily Input'!F246:F252)</f>
        <v>0</v>
      </c>
      <c r="C519" s="17">
        <f>SUM('Daily Input'!G246:G252)</f>
        <v>0</v>
      </c>
      <c r="D519" s="17">
        <f>SUM('Daily Input'!H246:H252)</f>
        <v>0</v>
      </c>
      <c r="E519" s="36">
        <f t="shared" ref="E519:F519" si="450">IF(B519=0,0,C519/B519)</f>
        <v>0</v>
      </c>
      <c r="F519" s="36">
        <f t="shared" si="450"/>
        <v>0</v>
      </c>
    </row>
    <row r="520" ht="15.75" customHeight="1">
      <c r="A520" s="35" t="s">
        <v>3</v>
      </c>
      <c r="B520" s="17">
        <f>SUM('Daily Input'!I246:I252)</f>
        <v>0</v>
      </c>
      <c r="C520" s="17">
        <f>SUM('Daily Input'!J246:J252)</f>
        <v>0</v>
      </c>
      <c r="D520" s="17">
        <f>SUM('Daily Input'!K246:K252)</f>
        <v>0</v>
      </c>
      <c r="E520" s="36">
        <f t="shared" ref="E520:F520" si="451">IF(B520=0,0,C520/B520)</f>
        <v>0</v>
      </c>
      <c r="F520" s="36">
        <f t="shared" si="451"/>
        <v>0</v>
      </c>
    </row>
    <row r="521" ht="15.75" customHeight="1">
      <c r="A521" s="35" t="s">
        <v>4</v>
      </c>
      <c r="B521" s="17">
        <f>SUM('Daily Input'!L246:L252)</f>
        <v>0</v>
      </c>
      <c r="C521" s="17">
        <f>SUM('Daily Input'!M246:M252)</f>
        <v>0</v>
      </c>
      <c r="D521" s="17">
        <f>SUM('Daily Input'!N246:N252)</f>
        <v>0</v>
      </c>
      <c r="E521" s="36">
        <f t="shared" ref="E521:F521" si="452">IF(B521=0,0,C521/B521)</f>
        <v>0</v>
      </c>
      <c r="F521" s="36">
        <f t="shared" si="452"/>
        <v>0</v>
      </c>
    </row>
    <row r="522" ht="15.75" customHeight="1">
      <c r="A522" s="35" t="s">
        <v>5</v>
      </c>
      <c r="B522" s="17">
        <f>SUM('Daily Input'!O246:O252)</f>
        <v>0</v>
      </c>
      <c r="C522" s="17">
        <f>SUM('Daily Input'!P246:P252)</f>
        <v>0</v>
      </c>
      <c r="D522" s="17">
        <f>SUM('Daily Input'!Q246:Q252)</f>
        <v>0</v>
      </c>
      <c r="E522" s="36">
        <f t="shared" ref="E522:F522" si="453">IF(B522=0,0,C522/B522)</f>
        <v>0</v>
      </c>
      <c r="F522" s="36">
        <f t="shared" si="453"/>
        <v>0</v>
      </c>
    </row>
    <row r="523" ht="15.75" customHeight="1">
      <c r="A523" s="35" t="s">
        <v>6</v>
      </c>
      <c r="B523" s="17">
        <f>SUM('Daily Input'!R246:R252)</f>
        <v>0</v>
      </c>
      <c r="C523" s="17">
        <f>SUM('Daily Input'!S246:S252)</f>
        <v>0</v>
      </c>
      <c r="D523" s="17">
        <f>SUM('Daily Input'!T246:T252)</f>
        <v>0</v>
      </c>
      <c r="E523" s="36">
        <f t="shared" ref="E523:F523" si="454">IF(B523=0,0,C523/B523)</f>
        <v>0</v>
      </c>
      <c r="F523" s="36">
        <f t="shared" si="454"/>
        <v>0</v>
      </c>
    </row>
    <row r="524" ht="15.75" customHeight="1">
      <c r="A524" s="35" t="s">
        <v>7</v>
      </c>
      <c r="B524" s="17">
        <f>SUM('Daily Input'!U246:U252)</f>
        <v>0</v>
      </c>
      <c r="C524" s="17">
        <f>SUM('Daily Input'!V246:V252)</f>
        <v>0</v>
      </c>
      <c r="D524" s="17">
        <f>SUM('Daily Input'!W246:W252)</f>
        <v>0</v>
      </c>
      <c r="E524" s="36">
        <f t="shared" ref="E524:F524" si="455">IF(B524=0,0,C524/B524)</f>
        <v>0</v>
      </c>
      <c r="F524" s="36">
        <f t="shared" si="455"/>
        <v>0</v>
      </c>
    </row>
    <row r="525" ht="15.75" customHeight="1">
      <c r="A525" s="35" t="s">
        <v>8</v>
      </c>
      <c r="B525" s="17">
        <f>SUM('Daily Input'!X246:X252)</f>
        <v>0</v>
      </c>
      <c r="C525" s="17">
        <f>SUM('Daily Input'!Y246:Y252)</f>
        <v>0</v>
      </c>
      <c r="D525" s="17">
        <f>SUM('Daily Input'!Z246:Z252)</f>
        <v>0</v>
      </c>
      <c r="E525" s="36">
        <f t="shared" ref="E525:F525" si="456">IF(B525=0,0,C525/B525)</f>
        <v>0</v>
      </c>
      <c r="F525" s="36">
        <f t="shared" si="456"/>
        <v>0</v>
      </c>
    </row>
    <row r="526" ht="15.75" customHeight="1">
      <c r="A526" s="35" t="s">
        <v>9</v>
      </c>
      <c r="B526" s="17">
        <f>SUM('Daily Input'!AA246:AA252)</f>
        <v>0</v>
      </c>
      <c r="C526" s="17">
        <f>SUM('Daily Input'!AB246:AB252)</f>
        <v>0</v>
      </c>
      <c r="D526" s="17">
        <f>SUM('Daily Input'!AC246:AC252)</f>
        <v>0</v>
      </c>
      <c r="E526" s="36">
        <f t="shared" ref="E526:F526" si="457">IF(B526=0,0,C526/B526)</f>
        <v>0</v>
      </c>
      <c r="F526" s="36">
        <f t="shared" si="457"/>
        <v>0</v>
      </c>
    </row>
    <row r="527" ht="15.75" customHeight="1">
      <c r="A527" s="35" t="s">
        <v>10</v>
      </c>
      <c r="B527" s="17">
        <f>SUM('Daily Input'!AD246:AD252)</f>
        <v>0</v>
      </c>
      <c r="C527" s="17">
        <f>SUM('Daily Input'!AE246:AE252)</f>
        <v>0</v>
      </c>
      <c r="D527" s="17">
        <f>SUM('Daily Input'!AF246:AF252)</f>
        <v>0</v>
      </c>
      <c r="E527" s="36">
        <f t="shared" ref="E527:F527" si="458">IF(B527=0,0,C527/B527)</f>
        <v>0</v>
      </c>
      <c r="F527" s="36">
        <f t="shared" si="458"/>
        <v>0</v>
      </c>
    </row>
    <row r="528" ht="15.75" customHeight="1">
      <c r="A528" s="35" t="s">
        <v>11</v>
      </c>
      <c r="B528" s="17">
        <f>SUM('Daily Input'!AG246:AG252)</f>
        <v>0</v>
      </c>
      <c r="C528" s="17">
        <f>SUM('Daily Input'!AH246:AH252)</f>
        <v>0</v>
      </c>
      <c r="D528" s="17">
        <f>SUM('Daily Input'!AI246:AI252)</f>
        <v>0</v>
      </c>
      <c r="E528" s="36">
        <f t="shared" ref="E528:F528" si="459">IF(B528=0,0,C528/B528)</f>
        <v>0</v>
      </c>
      <c r="F528" s="36">
        <f t="shared" si="459"/>
        <v>0</v>
      </c>
    </row>
    <row r="529" ht="15.75" customHeight="1">
      <c r="A529" s="35" t="s">
        <v>12</v>
      </c>
      <c r="B529" s="17">
        <f>SUM('Daily Input'!AJ246:AJ252)</f>
        <v>0</v>
      </c>
      <c r="C529" s="17">
        <f>SUM('Daily Input'!AK246:AK252)</f>
        <v>0</v>
      </c>
      <c r="D529" s="17">
        <f>SUM('Daily Input'!AL246:AL252)</f>
        <v>0</v>
      </c>
      <c r="E529" s="36">
        <f t="shared" ref="E529:F529" si="460">IF(B529=0,0,C529/B529)</f>
        <v>0</v>
      </c>
      <c r="F529" s="36">
        <f t="shared" si="460"/>
        <v>0</v>
      </c>
    </row>
    <row r="530" ht="15.75" customHeight="1">
      <c r="A530" s="37" t="s">
        <v>59</v>
      </c>
      <c r="B530" s="29">
        <f t="shared" ref="B530:D530" si="461">SUM(B518:B529)</f>
        <v>0</v>
      </c>
      <c r="C530" s="29">
        <f t="shared" si="461"/>
        <v>0</v>
      </c>
      <c r="D530" s="29">
        <f t="shared" si="461"/>
        <v>0</v>
      </c>
      <c r="E530" s="30">
        <f t="shared" ref="E530:F530" si="462">IF(B530=0,0,C530/B530)</f>
        <v>0</v>
      </c>
      <c r="F530" s="30">
        <f t="shared" si="462"/>
        <v>0</v>
      </c>
    </row>
    <row r="531" ht="15.75" customHeight="1"/>
    <row r="532" ht="15.75" customHeight="1">
      <c r="A532" s="33" t="s">
        <v>92</v>
      </c>
      <c r="B532" s="4"/>
      <c r="C532" s="4"/>
      <c r="D532" s="4"/>
      <c r="E532" s="4"/>
      <c r="F532" s="4"/>
      <c r="G532" s="4"/>
      <c r="H532" s="5"/>
    </row>
    <row r="533" ht="15.75" customHeight="1">
      <c r="A533" s="34" t="s">
        <v>55</v>
      </c>
      <c r="B533" s="34" t="s">
        <v>16</v>
      </c>
      <c r="C533" s="34" t="s">
        <v>17</v>
      </c>
      <c r="D533" s="34" t="s">
        <v>56</v>
      </c>
      <c r="E533" s="34" t="s">
        <v>57</v>
      </c>
      <c r="F533" s="34" t="s">
        <v>58</v>
      </c>
    </row>
    <row r="534" ht="15.75" customHeight="1">
      <c r="A534" s="35" t="s">
        <v>1</v>
      </c>
      <c r="B534" s="17">
        <f>SUM('Daily Input'!C253:C259)</f>
        <v>0</v>
      </c>
      <c r="C534" s="17">
        <f>SUM('Daily Input'!D253:D259)</f>
        <v>0</v>
      </c>
      <c r="D534" s="17">
        <f>SUM('Daily Input'!E253:E259)</f>
        <v>0</v>
      </c>
      <c r="E534" s="36">
        <f t="shared" ref="E534:F534" si="463">IF(B534=0,0,C534/B534)</f>
        <v>0</v>
      </c>
      <c r="F534" s="36">
        <f t="shared" si="463"/>
        <v>0</v>
      </c>
    </row>
    <row r="535" ht="15.75" customHeight="1">
      <c r="A535" s="35" t="s">
        <v>2</v>
      </c>
      <c r="B535" s="17">
        <f>SUM('Daily Input'!F253:F259)</f>
        <v>0</v>
      </c>
      <c r="C535" s="17">
        <f>SUM('Daily Input'!G253:G259)</f>
        <v>0</v>
      </c>
      <c r="D535" s="17">
        <f>SUM('Daily Input'!H253:H259)</f>
        <v>0</v>
      </c>
      <c r="E535" s="36">
        <f t="shared" ref="E535:F535" si="464">IF(B535=0,0,C535/B535)</f>
        <v>0</v>
      </c>
      <c r="F535" s="36">
        <f t="shared" si="464"/>
        <v>0</v>
      </c>
    </row>
    <row r="536" ht="15.75" customHeight="1">
      <c r="A536" s="35" t="s">
        <v>3</v>
      </c>
      <c r="B536" s="17">
        <f>SUM('Daily Input'!I253:I259)</f>
        <v>0</v>
      </c>
      <c r="C536" s="17">
        <f>SUM('Daily Input'!J253:J259)</f>
        <v>0</v>
      </c>
      <c r="D536" s="17">
        <f>SUM('Daily Input'!K253:K259)</f>
        <v>0</v>
      </c>
      <c r="E536" s="36">
        <f t="shared" ref="E536:F536" si="465">IF(B536=0,0,C536/B536)</f>
        <v>0</v>
      </c>
      <c r="F536" s="36">
        <f t="shared" si="465"/>
        <v>0</v>
      </c>
    </row>
    <row r="537" ht="15.75" customHeight="1">
      <c r="A537" s="35" t="s">
        <v>4</v>
      </c>
      <c r="B537" s="17">
        <f>SUM('Daily Input'!L253:L259)</f>
        <v>0</v>
      </c>
      <c r="C537" s="17">
        <f>SUM('Daily Input'!M253:M259)</f>
        <v>0</v>
      </c>
      <c r="D537" s="17">
        <f>SUM('Daily Input'!N253:N259)</f>
        <v>0</v>
      </c>
      <c r="E537" s="36">
        <f t="shared" ref="E537:F537" si="466">IF(B537=0,0,C537/B537)</f>
        <v>0</v>
      </c>
      <c r="F537" s="36">
        <f t="shared" si="466"/>
        <v>0</v>
      </c>
    </row>
    <row r="538" ht="15.75" customHeight="1">
      <c r="A538" s="35" t="s">
        <v>5</v>
      </c>
      <c r="B538" s="17">
        <f>SUM('Daily Input'!O253:O259)</f>
        <v>0</v>
      </c>
      <c r="C538" s="17">
        <f>SUM('Daily Input'!P253:P259)</f>
        <v>0</v>
      </c>
      <c r="D538" s="17">
        <f>SUM('Daily Input'!Q253:Q259)</f>
        <v>0</v>
      </c>
      <c r="E538" s="36">
        <f t="shared" ref="E538:F538" si="467">IF(B538=0,0,C538/B538)</f>
        <v>0</v>
      </c>
      <c r="F538" s="36">
        <f t="shared" si="467"/>
        <v>0</v>
      </c>
    </row>
    <row r="539" ht="15.75" customHeight="1">
      <c r="A539" s="35" t="s">
        <v>6</v>
      </c>
      <c r="B539" s="17">
        <f>SUM('Daily Input'!R253:R259)</f>
        <v>0</v>
      </c>
      <c r="C539" s="17">
        <f>SUM('Daily Input'!S253:S259)</f>
        <v>0</v>
      </c>
      <c r="D539" s="17">
        <f>SUM('Daily Input'!T253:T259)</f>
        <v>0</v>
      </c>
      <c r="E539" s="36">
        <f t="shared" ref="E539:F539" si="468">IF(B539=0,0,C539/B539)</f>
        <v>0</v>
      </c>
      <c r="F539" s="36">
        <f t="shared" si="468"/>
        <v>0</v>
      </c>
    </row>
    <row r="540" ht="15.75" customHeight="1">
      <c r="A540" s="35" t="s">
        <v>7</v>
      </c>
      <c r="B540" s="17">
        <f>SUM('Daily Input'!U253:U259)</f>
        <v>0</v>
      </c>
      <c r="C540" s="17">
        <f>SUM('Daily Input'!V253:V259)</f>
        <v>0</v>
      </c>
      <c r="D540" s="17">
        <f>SUM('Daily Input'!W253:W259)</f>
        <v>0</v>
      </c>
      <c r="E540" s="36">
        <f t="shared" ref="E540:F540" si="469">IF(B540=0,0,C540/B540)</f>
        <v>0</v>
      </c>
      <c r="F540" s="36">
        <f t="shared" si="469"/>
        <v>0</v>
      </c>
    </row>
    <row r="541" ht="15.75" customHeight="1">
      <c r="A541" s="35" t="s">
        <v>8</v>
      </c>
      <c r="B541" s="17">
        <f>SUM('Daily Input'!X253:X259)</f>
        <v>0</v>
      </c>
      <c r="C541" s="17">
        <f>SUM('Daily Input'!Y253:Y259)</f>
        <v>0</v>
      </c>
      <c r="D541" s="17">
        <f>SUM('Daily Input'!Z253:Z259)</f>
        <v>0</v>
      </c>
      <c r="E541" s="36">
        <f t="shared" ref="E541:F541" si="470">IF(B541=0,0,C541/B541)</f>
        <v>0</v>
      </c>
      <c r="F541" s="36">
        <f t="shared" si="470"/>
        <v>0</v>
      </c>
    </row>
    <row r="542" ht="15.75" customHeight="1">
      <c r="A542" s="35" t="s">
        <v>9</v>
      </c>
      <c r="B542" s="17">
        <f>SUM('Daily Input'!AA253:AA259)</f>
        <v>0</v>
      </c>
      <c r="C542" s="17">
        <f>SUM('Daily Input'!AB253:AB259)</f>
        <v>0</v>
      </c>
      <c r="D542" s="17">
        <f>SUM('Daily Input'!AC253:AC259)</f>
        <v>0</v>
      </c>
      <c r="E542" s="36">
        <f t="shared" ref="E542:F542" si="471">IF(B542=0,0,C542/B542)</f>
        <v>0</v>
      </c>
      <c r="F542" s="36">
        <f t="shared" si="471"/>
        <v>0</v>
      </c>
    </row>
    <row r="543" ht="15.75" customHeight="1">
      <c r="A543" s="35" t="s">
        <v>10</v>
      </c>
      <c r="B543" s="17">
        <f>SUM('Daily Input'!AD253:AD259)</f>
        <v>0</v>
      </c>
      <c r="C543" s="17">
        <f>SUM('Daily Input'!AE253:AE259)</f>
        <v>0</v>
      </c>
      <c r="D543" s="17">
        <f>SUM('Daily Input'!AF253:AF259)</f>
        <v>0</v>
      </c>
      <c r="E543" s="36">
        <f t="shared" ref="E543:F543" si="472">IF(B543=0,0,C543/B543)</f>
        <v>0</v>
      </c>
      <c r="F543" s="36">
        <f t="shared" si="472"/>
        <v>0</v>
      </c>
    </row>
    <row r="544" ht="15.75" customHeight="1">
      <c r="A544" s="35" t="s">
        <v>11</v>
      </c>
      <c r="B544" s="17">
        <f>SUM('Daily Input'!AG253:AG259)</f>
        <v>0</v>
      </c>
      <c r="C544" s="17">
        <f>SUM('Daily Input'!AH253:AH259)</f>
        <v>0</v>
      </c>
      <c r="D544" s="17">
        <f>SUM('Daily Input'!AI253:AI259)</f>
        <v>0</v>
      </c>
      <c r="E544" s="36">
        <f t="shared" ref="E544:F544" si="473">IF(B544=0,0,C544/B544)</f>
        <v>0</v>
      </c>
      <c r="F544" s="36">
        <f t="shared" si="473"/>
        <v>0</v>
      </c>
    </row>
    <row r="545" ht="15.75" customHeight="1">
      <c r="A545" s="35" t="s">
        <v>12</v>
      </c>
      <c r="B545" s="17">
        <f>SUM('Daily Input'!AJ253:AJ259)</f>
        <v>0</v>
      </c>
      <c r="C545" s="17">
        <f>SUM('Daily Input'!AK253:AK259)</f>
        <v>0</v>
      </c>
      <c r="D545" s="17">
        <f>SUM('Daily Input'!AL253:AL259)</f>
        <v>0</v>
      </c>
      <c r="E545" s="36">
        <f t="shared" ref="E545:F545" si="474">IF(B545=0,0,C545/B545)</f>
        <v>0</v>
      </c>
      <c r="F545" s="36">
        <f t="shared" si="474"/>
        <v>0</v>
      </c>
    </row>
    <row r="546" ht="15.75" customHeight="1">
      <c r="A546" s="37" t="s">
        <v>59</v>
      </c>
      <c r="B546" s="29">
        <f t="shared" ref="B546:D546" si="475">SUM(B534:B545)</f>
        <v>0</v>
      </c>
      <c r="C546" s="29">
        <f t="shared" si="475"/>
        <v>0</v>
      </c>
      <c r="D546" s="29">
        <f t="shared" si="475"/>
        <v>0</v>
      </c>
      <c r="E546" s="30">
        <f t="shared" ref="E546:F546" si="476">IF(B546=0,0,C546/B546)</f>
        <v>0</v>
      </c>
      <c r="F546" s="30">
        <f t="shared" si="476"/>
        <v>0</v>
      </c>
    </row>
    <row r="547" ht="15.75" customHeight="1"/>
    <row r="548" ht="15.75" customHeight="1">
      <c r="A548" s="33" t="s">
        <v>93</v>
      </c>
      <c r="B548" s="4"/>
      <c r="C548" s="4"/>
      <c r="D548" s="4"/>
      <c r="E548" s="4"/>
      <c r="F548" s="4"/>
      <c r="G548" s="4"/>
      <c r="H548" s="5"/>
    </row>
    <row r="549" ht="15.75" customHeight="1">
      <c r="A549" s="34" t="s">
        <v>55</v>
      </c>
      <c r="B549" s="34" t="s">
        <v>16</v>
      </c>
      <c r="C549" s="34" t="s">
        <v>17</v>
      </c>
      <c r="D549" s="34" t="s">
        <v>56</v>
      </c>
      <c r="E549" s="34" t="s">
        <v>57</v>
      </c>
      <c r="F549" s="34" t="s">
        <v>58</v>
      </c>
    </row>
    <row r="550" ht="15.75" customHeight="1">
      <c r="A550" s="35" t="s">
        <v>1</v>
      </c>
      <c r="B550" s="17">
        <f>SUM('Daily Input'!C260:C266)</f>
        <v>0</v>
      </c>
      <c r="C550" s="17">
        <f>SUM('Daily Input'!D260:D266)</f>
        <v>0</v>
      </c>
      <c r="D550" s="17">
        <f>SUM('Daily Input'!E260:E266)</f>
        <v>0</v>
      </c>
      <c r="E550" s="36">
        <f t="shared" ref="E550:F550" si="477">IF(B550=0,0,C550/B550)</f>
        <v>0</v>
      </c>
      <c r="F550" s="36">
        <f t="shared" si="477"/>
        <v>0</v>
      </c>
    </row>
    <row r="551" ht="15.75" customHeight="1">
      <c r="A551" s="35" t="s">
        <v>2</v>
      </c>
      <c r="B551" s="17">
        <f>SUM('Daily Input'!F260:F266)</f>
        <v>0</v>
      </c>
      <c r="C551" s="17">
        <f>SUM('Daily Input'!G260:G266)</f>
        <v>0</v>
      </c>
      <c r="D551" s="17">
        <f>SUM('Daily Input'!H260:H266)</f>
        <v>0</v>
      </c>
      <c r="E551" s="36">
        <f t="shared" ref="E551:F551" si="478">IF(B551=0,0,C551/B551)</f>
        <v>0</v>
      </c>
      <c r="F551" s="36">
        <f t="shared" si="478"/>
        <v>0</v>
      </c>
    </row>
    <row r="552" ht="15.75" customHeight="1">
      <c r="A552" s="35" t="s">
        <v>3</v>
      </c>
      <c r="B552" s="17">
        <f>SUM('Daily Input'!I260:I266)</f>
        <v>0</v>
      </c>
      <c r="C552" s="17">
        <f>SUM('Daily Input'!J260:J266)</f>
        <v>0</v>
      </c>
      <c r="D552" s="17">
        <f>SUM('Daily Input'!K260:K266)</f>
        <v>0</v>
      </c>
      <c r="E552" s="36">
        <f t="shared" ref="E552:F552" si="479">IF(B552=0,0,C552/B552)</f>
        <v>0</v>
      </c>
      <c r="F552" s="36">
        <f t="shared" si="479"/>
        <v>0</v>
      </c>
    </row>
    <row r="553" ht="15.75" customHeight="1">
      <c r="A553" s="35" t="s">
        <v>4</v>
      </c>
      <c r="B553" s="17">
        <f>SUM('Daily Input'!L260:L266)</f>
        <v>0</v>
      </c>
      <c r="C553" s="17">
        <f>SUM('Daily Input'!M260:M266)</f>
        <v>0</v>
      </c>
      <c r="D553" s="17">
        <f>SUM('Daily Input'!N260:N266)</f>
        <v>0</v>
      </c>
      <c r="E553" s="36">
        <f t="shared" ref="E553:F553" si="480">IF(B553=0,0,C553/B553)</f>
        <v>0</v>
      </c>
      <c r="F553" s="36">
        <f t="shared" si="480"/>
        <v>0</v>
      </c>
    </row>
    <row r="554" ht="15.75" customHeight="1">
      <c r="A554" s="35" t="s">
        <v>5</v>
      </c>
      <c r="B554" s="17">
        <f>SUM('Daily Input'!O260:O266)</f>
        <v>0</v>
      </c>
      <c r="C554" s="17">
        <f>SUM('Daily Input'!P260:P266)</f>
        <v>0</v>
      </c>
      <c r="D554" s="17">
        <f>SUM('Daily Input'!Q260:Q266)</f>
        <v>0</v>
      </c>
      <c r="E554" s="36">
        <f t="shared" ref="E554:F554" si="481">IF(B554=0,0,C554/B554)</f>
        <v>0</v>
      </c>
      <c r="F554" s="36">
        <f t="shared" si="481"/>
        <v>0</v>
      </c>
    </row>
    <row r="555" ht="15.75" customHeight="1">
      <c r="A555" s="35" t="s">
        <v>6</v>
      </c>
      <c r="B555" s="17">
        <f>SUM('Daily Input'!R260:R266)</f>
        <v>0</v>
      </c>
      <c r="C555" s="17">
        <f>SUM('Daily Input'!S260:S266)</f>
        <v>0</v>
      </c>
      <c r="D555" s="17">
        <f>SUM('Daily Input'!T260:T266)</f>
        <v>0</v>
      </c>
      <c r="E555" s="36">
        <f t="shared" ref="E555:F555" si="482">IF(B555=0,0,C555/B555)</f>
        <v>0</v>
      </c>
      <c r="F555" s="36">
        <f t="shared" si="482"/>
        <v>0</v>
      </c>
    </row>
    <row r="556" ht="15.75" customHeight="1">
      <c r="A556" s="35" t="s">
        <v>7</v>
      </c>
      <c r="B556" s="17">
        <f>SUM('Daily Input'!U260:U266)</f>
        <v>0</v>
      </c>
      <c r="C556" s="17">
        <f>SUM('Daily Input'!V260:V266)</f>
        <v>0</v>
      </c>
      <c r="D556" s="17">
        <f>SUM('Daily Input'!W260:W266)</f>
        <v>0</v>
      </c>
      <c r="E556" s="36">
        <f t="shared" ref="E556:F556" si="483">IF(B556=0,0,C556/B556)</f>
        <v>0</v>
      </c>
      <c r="F556" s="36">
        <f t="shared" si="483"/>
        <v>0</v>
      </c>
    </row>
    <row r="557" ht="15.75" customHeight="1">
      <c r="A557" s="35" t="s">
        <v>8</v>
      </c>
      <c r="B557" s="17">
        <f>SUM('Daily Input'!X260:X266)</f>
        <v>0</v>
      </c>
      <c r="C557" s="17">
        <f>SUM('Daily Input'!Y260:Y266)</f>
        <v>0</v>
      </c>
      <c r="D557" s="17">
        <f>SUM('Daily Input'!Z260:Z266)</f>
        <v>0</v>
      </c>
      <c r="E557" s="36">
        <f t="shared" ref="E557:F557" si="484">IF(B557=0,0,C557/B557)</f>
        <v>0</v>
      </c>
      <c r="F557" s="36">
        <f t="shared" si="484"/>
        <v>0</v>
      </c>
    </row>
    <row r="558" ht="15.75" customHeight="1">
      <c r="A558" s="35" t="s">
        <v>9</v>
      </c>
      <c r="B558" s="17">
        <f>SUM('Daily Input'!AA260:AA266)</f>
        <v>0</v>
      </c>
      <c r="C558" s="17">
        <f>SUM('Daily Input'!AB260:AB266)</f>
        <v>0</v>
      </c>
      <c r="D558" s="17">
        <f>SUM('Daily Input'!AC260:AC266)</f>
        <v>0</v>
      </c>
      <c r="E558" s="36">
        <f t="shared" ref="E558:F558" si="485">IF(B558=0,0,C558/B558)</f>
        <v>0</v>
      </c>
      <c r="F558" s="36">
        <f t="shared" si="485"/>
        <v>0</v>
      </c>
    </row>
    <row r="559" ht="15.75" customHeight="1">
      <c r="A559" s="35" t="s">
        <v>10</v>
      </c>
      <c r="B559" s="17">
        <f>SUM('Daily Input'!AD260:AD266)</f>
        <v>0</v>
      </c>
      <c r="C559" s="17">
        <f>SUM('Daily Input'!AE260:AE266)</f>
        <v>0</v>
      </c>
      <c r="D559" s="17">
        <f>SUM('Daily Input'!AF260:AF266)</f>
        <v>0</v>
      </c>
      <c r="E559" s="36">
        <f t="shared" ref="E559:F559" si="486">IF(B559=0,0,C559/B559)</f>
        <v>0</v>
      </c>
      <c r="F559" s="36">
        <f t="shared" si="486"/>
        <v>0</v>
      </c>
    </row>
    <row r="560" ht="15.75" customHeight="1">
      <c r="A560" s="35" t="s">
        <v>11</v>
      </c>
      <c r="B560" s="17">
        <f>SUM('Daily Input'!AG260:AG266)</f>
        <v>0</v>
      </c>
      <c r="C560" s="17">
        <f>SUM('Daily Input'!AH260:AH266)</f>
        <v>0</v>
      </c>
      <c r="D560" s="17">
        <f>SUM('Daily Input'!AI260:AI266)</f>
        <v>0</v>
      </c>
      <c r="E560" s="36">
        <f t="shared" ref="E560:F560" si="487">IF(B560=0,0,C560/B560)</f>
        <v>0</v>
      </c>
      <c r="F560" s="36">
        <f t="shared" si="487"/>
        <v>0</v>
      </c>
    </row>
    <row r="561" ht="15.75" customHeight="1">
      <c r="A561" s="35" t="s">
        <v>12</v>
      </c>
      <c r="B561" s="17">
        <f>SUM('Daily Input'!AJ260:AJ266)</f>
        <v>0</v>
      </c>
      <c r="C561" s="17">
        <f>SUM('Daily Input'!AK260:AK266)</f>
        <v>0</v>
      </c>
      <c r="D561" s="17">
        <f>SUM('Daily Input'!AL260:AL266)</f>
        <v>0</v>
      </c>
      <c r="E561" s="36">
        <f t="shared" ref="E561:F561" si="488">IF(B561=0,0,C561/B561)</f>
        <v>0</v>
      </c>
      <c r="F561" s="36">
        <f t="shared" si="488"/>
        <v>0</v>
      </c>
    </row>
    <row r="562" ht="15.75" customHeight="1">
      <c r="A562" s="37" t="s">
        <v>59</v>
      </c>
      <c r="B562" s="29">
        <f t="shared" ref="B562:D562" si="489">SUM(B550:B561)</f>
        <v>0</v>
      </c>
      <c r="C562" s="29">
        <f t="shared" si="489"/>
        <v>0</v>
      </c>
      <c r="D562" s="29">
        <f t="shared" si="489"/>
        <v>0</v>
      </c>
      <c r="E562" s="30">
        <f t="shared" ref="E562:F562" si="490">IF(B562=0,0,C562/B562)</f>
        <v>0</v>
      </c>
      <c r="F562" s="30">
        <f t="shared" si="490"/>
        <v>0</v>
      </c>
    </row>
    <row r="563" ht="15.75" customHeight="1"/>
    <row r="564" ht="15.75" customHeight="1">
      <c r="A564" s="33" t="s">
        <v>94</v>
      </c>
      <c r="B564" s="4"/>
      <c r="C564" s="4"/>
      <c r="D564" s="4"/>
      <c r="E564" s="4"/>
      <c r="F564" s="4"/>
      <c r="G564" s="4"/>
      <c r="H564" s="5"/>
    </row>
    <row r="565" ht="15.75" customHeight="1">
      <c r="A565" s="34" t="s">
        <v>55</v>
      </c>
      <c r="B565" s="34" t="s">
        <v>16</v>
      </c>
      <c r="C565" s="34" t="s">
        <v>17</v>
      </c>
      <c r="D565" s="34" t="s">
        <v>56</v>
      </c>
      <c r="E565" s="34" t="s">
        <v>57</v>
      </c>
      <c r="F565" s="34" t="s">
        <v>58</v>
      </c>
    </row>
    <row r="566" ht="15.75" customHeight="1">
      <c r="A566" s="35" t="s">
        <v>1</v>
      </c>
      <c r="B566" s="17">
        <f>SUM('Daily Input'!C267:C276)</f>
        <v>0</v>
      </c>
      <c r="C566" s="17">
        <f>SUM('Daily Input'!D267:D276)</f>
        <v>0</v>
      </c>
      <c r="D566" s="17">
        <f>SUM('Daily Input'!E267:E276)</f>
        <v>0</v>
      </c>
      <c r="E566" s="36">
        <f t="shared" ref="E566:F566" si="491">IF(B566=0,0,C566/B566)</f>
        <v>0</v>
      </c>
      <c r="F566" s="36">
        <f t="shared" si="491"/>
        <v>0</v>
      </c>
    </row>
    <row r="567" ht="15.75" customHeight="1">
      <c r="A567" s="35" t="s">
        <v>2</v>
      </c>
      <c r="B567" s="17">
        <f>SUM('Daily Input'!F267:F276)</f>
        <v>0</v>
      </c>
      <c r="C567" s="17">
        <f>SUM('Daily Input'!G267:G276)</f>
        <v>0</v>
      </c>
      <c r="D567" s="17">
        <f>SUM('Daily Input'!H267:H276)</f>
        <v>0</v>
      </c>
      <c r="E567" s="36">
        <f t="shared" ref="E567:F567" si="492">IF(B567=0,0,C567/B567)</f>
        <v>0</v>
      </c>
      <c r="F567" s="36">
        <f t="shared" si="492"/>
        <v>0</v>
      </c>
    </row>
    <row r="568" ht="15.75" customHeight="1">
      <c r="A568" s="35" t="s">
        <v>3</v>
      </c>
      <c r="B568" s="17">
        <f>SUM('Daily Input'!I267:I276)</f>
        <v>0</v>
      </c>
      <c r="C568" s="17">
        <f>SUM('Daily Input'!J267:J276)</f>
        <v>0</v>
      </c>
      <c r="D568" s="17">
        <f>SUM('Daily Input'!K267:K276)</f>
        <v>0</v>
      </c>
      <c r="E568" s="36">
        <f t="shared" ref="E568:F568" si="493">IF(B568=0,0,C568/B568)</f>
        <v>0</v>
      </c>
      <c r="F568" s="36">
        <f t="shared" si="493"/>
        <v>0</v>
      </c>
    </row>
    <row r="569" ht="15.75" customHeight="1">
      <c r="A569" s="35" t="s">
        <v>4</v>
      </c>
      <c r="B569" s="17">
        <f>SUM('Daily Input'!L267:L276)</f>
        <v>0</v>
      </c>
      <c r="C569" s="17">
        <f>SUM('Daily Input'!M267:M276)</f>
        <v>0</v>
      </c>
      <c r="D569" s="17">
        <f>SUM('Daily Input'!N267:N276)</f>
        <v>0</v>
      </c>
      <c r="E569" s="36">
        <f t="shared" ref="E569:F569" si="494">IF(B569=0,0,C569/B569)</f>
        <v>0</v>
      </c>
      <c r="F569" s="36">
        <f t="shared" si="494"/>
        <v>0</v>
      </c>
    </row>
    <row r="570" ht="15.75" customHeight="1">
      <c r="A570" s="35" t="s">
        <v>5</v>
      </c>
      <c r="B570" s="17">
        <f>SUM('Daily Input'!O267:O276)</f>
        <v>0</v>
      </c>
      <c r="C570" s="17">
        <f>SUM('Daily Input'!P267:P276)</f>
        <v>0</v>
      </c>
      <c r="D570" s="17">
        <f>SUM('Daily Input'!Q267:Q276)</f>
        <v>0</v>
      </c>
      <c r="E570" s="36">
        <f t="shared" ref="E570:F570" si="495">IF(B570=0,0,C570/B570)</f>
        <v>0</v>
      </c>
      <c r="F570" s="36">
        <f t="shared" si="495"/>
        <v>0</v>
      </c>
    </row>
    <row r="571" ht="15.75" customHeight="1">
      <c r="A571" s="35" t="s">
        <v>6</v>
      </c>
      <c r="B571" s="17">
        <f>SUM('Daily Input'!R267:R276)</f>
        <v>0</v>
      </c>
      <c r="C571" s="17">
        <f>SUM('Daily Input'!S267:S276)</f>
        <v>0</v>
      </c>
      <c r="D571" s="17">
        <f>SUM('Daily Input'!T267:T276)</f>
        <v>0</v>
      </c>
      <c r="E571" s="36">
        <f t="shared" ref="E571:F571" si="496">IF(B571=0,0,C571/B571)</f>
        <v>0</v>
      </c>
      <c r="F571" s="36">
        <f t="shared" si="496"/>
        <v>0</v>
      </c>
    </row>
    <row r="572" ht="15.75" customHeight="1">
      <c r="A572" s="35" t="s">
        <v>7</v>
      </c>
      <c r="B572" s="17">
        <f>SUM('Daily Input'!U267:U276)</f>
        <v>0</v>
      </c>
      <c r="C572" s="17">
        <f>SUM('Daily Input'!V267:V276)</f>
        <v>0</v>
      </c>
      <c r="D572" s="17">
        <f>SUM('Daily Input'!W267:W276)</f>
        <v>0</v>
      </c>
      <c r="E572" s="36">
        <f t="shared" ref="E572:F572" si="497">IF(B572=0,0,C572/B572)</f>
        <v>0</v>
      </c>
      <c r="F572" s="36">
        <f t="shared" si="497"/>
        <v>0</v>
      </c>
    </row>
    <row r="573" ht="15.75" customHeight="1">
      <c r="A573" s="35" t="s">
        <v>8</v>
      </c>
      <c r="B573" s="17">
        <f>SUM('Daily Input'!X267:X276)</f>
        <v>0</v>
      </c>
      <c r="C573" s="17">
        <f>SUM('Daily Input'!Y267:Y276)</f>
        <v>0</v>
      </c>
      <c r="D573" s="17">
        <f>SUM('Daily Input'!Z267:Z276)</f>
        <v>0</v>
      </c>
      <c r="E573" s="36">
        <f t="shared" ref="E573:F573" si="498">IF(B573=0,0,C573/B573)</f>
        <v>0</v>
      </c>
      <c r="F573" s="36">
        <f t="shared" si="498"/>
        <v>0</v>
      </c>
    </row>
    <row r="574" ht="15.75" customHeight="1">
      <c r="A574" s="35" t="s">
        <v>9</v>
      </c>
      <c r="B574" s="17">
        <f>SUM('Daily Input'!AA267:AA276)</f>
        <v>0</v>
      </c>
      <c r="C574" s="17">
        <f>SUM('Daily Input'!AB267:AB276)</f>
        <v>0</v>
      </c>
      <c r="D574" s="17">
        <f>SUM('Daily Input'!AC267:AC276)</f>
        <v>0</v>
      </c>
      <c r="E574" s="36">
        <f t="shared" ref="E574:F574" si="499">IF(B574=0,0,C574/B574)</f>
        <v>0</v>
      </c>
      <c r="F574" s="36">
        <f t="shared" si="499"/>
        <v>0</v>
      </c>
    </row>
    <row r="575" ht="15.75" customHeight="1">
      <c r="A575" s="35" t="s">
        <v>10</v>
      </c>
      <c r="B575" s="17">
        <f>SUM('Daily Input'!AD267:AD276)</f>
        <v>0</v>
      </c>
      <c r="C575" s="17">
        <f>SUM('Daily Input'!AE267:AE276)</f>
        <v>0</v>
      </c>
      <c r="D575" s="17">
        <f>SUM('Daily Input'!AF267:AF276)</f>
        <v>0</v>
      </c>
      <c r="E575" s="36">
        <f t="shared" ref="E575:F575" si="500">IF(B575=0,0,C575/B575)</f>
        <v>0</v>
      </c>
      <c r="F575" s="36">
        <f t="shared" si="500"/>
        <v>0</v>
      </c>
    </row>
    <row r="576" ht="15.75" customHeight="1">
      <c r="A576" s="35" t="s">
        <v>11</v>
      </c>
      <c r="B576" s="17">
        <f>SUM('Daily Input'!AG267:AG276)</f>
        <v>0</v>
      </c>
      <c r="C576" s="17">
        <f>SUM('Daily Input'!AH267:AH276)</f>
        <v>0</v>
      </c>
      <c r="D576" s="17">
        <f>SUM('Daily Input'!AI267:AI276)</f>
        <v>0</v>
      </c>
      <c r="E576" s="36">
        <f t="shared" ref="E576:F576" si="501">IF(B576=0,0,C576/B576)</f>
        <v>0</v>
      </c>
      <c r="F576" s="36">
        <f t="shared" si="501"/>
        <v>0</v>
      </c>
    </row>
    <row r="577" ht="15.75" customHeight="1">
      <c r="A577" s="35" t="s">
        <v>12</v>
      </c>
      <c r="B577" s="17">
        <f>SUM('Daily Input'!AJ267:AJ276)</f>
        <v>0</v>
      </c>
      <c r="C577" s="17">
        <f>SUM('Daily Input'!AK267:AK276)</f>
        <v>0</v>
      </c>
      <c r="D577" s="17">
        <f>SUM('Daily Input'!AL267:AL276)</f>
        <v>0</v>
      </c>
      <c r="E577" s="36">
        <f t="shared" ref="E577:F577" si="502">IF(B577=0,0,C577/B577)</f>
        <v>0</v>
      </c>
      <c r="F577" s="36">
        <f t="shared" si="502"/>
        <v>0</v>
      </c>
    </row>
    <row r="578" ht="15.75" customHeight="1">
      <c r="A578" s="37" t="s">
        <v>59</v>
      </c>
      <c r="B578" s="29">
        <f t="shared" ref="B578:D578" si="503">SUM(B566:B577)</f>
        <v>0</v>
      </c>
      <c r="C578" s="29">
        <f t="shared" si="503"/>
        <v>0</v>
      </c>
      <c r="D578" s="29">
        <f t="shared" si="503"/>
        <v>0</v>
      </c>
      <c r="E578" s="30">
        <f t="shared" ref="E578:F578" si="504">IF(B578=0,0,C578/B578)</f>
        <v>0</v>
      </c>
      <c r="F578" s="30">
        <f t="shared" si="504"/>
        <v>0</v>
      </c>
    </row>
    <row r="579" ht="15.75" customHeight="1"/>
    <row r="580" ht="15.75" customHeight="1">
      <c r="A580" s="33" t="s">
        <v>95</v>
      </c>
      <c r="B580" s="4"/>
      <c r="C580" s="4"/>
      <c r="D580" s="4"/>
      <c r="E580" s="4"/>
      <c r="F580" s="4"/>
      <c r="G580" s="4"/>
      <c r="H580" s="5"/>
    </row>
    <row r="581" ht="15.75" customHeight="1">
      <c r="A581" s="34" t="s">
        <v>55</v>
      </c>
      <c r="B581" s="34" t="s">
        <v>16</v>
      </c>
      <c r="C581" s="34" t="s">
        <v>17</v>
      </c>
      <c r="D581" s="34" t="s">
        <v>56</v>
      </c>
      <c r="E581" s="34" t="s">
        <v>57</v>
      </c>
      <c r="F581" s="34" t="s">
        <v>58</v>
      </c>
    </row>
    <row r="582" ht="15.75" customHeight="1">
      <c r="A582" s="35" t="s">
        <v>1</v>
      </c>
      <c r="B582" s="17">
        <f>SUM('Daily Input'!C277:C283)</f>
        <v>0</v>
      </c>
      <c r="C582" s="17">
        <f>SUM('Daily Input'!D277:D283)</f>
        <v>0</v>
      </c>
      <c r="D582" s="17">
        <f>SUM('Daily Input'!E277:E283)</f>
        <v>0</v>
      </c>
      <c r="E582" s="36">
        <f t="shared" ref="E582:F582" si="505">IF(B582=0,0,C582/B582)</f>
        <v>0</v>
      </c>
      <c r="F582" s="36">
        <f t="shared" si="505"/>
        <v>0</v>
      </c>
    </row>
    <row r="583" ht="15.75" customHeight="1">
      <c r="A583" s="35" t="s">
        <v>2</v>
      </c>
      <c r="B583" s="17">
        <f>SUM('Daily Input'!F277:F283)</f>
        <v>0</v>
      </c>
      <c r="C583" s="17">
        <f>SUM('Daily Input'!G277:G283)</f>
        <v>0</v>
      </c>
      <c r="D583" s="17">
        <f>SUM('Daily Input'!H277:H283)</f>
        <v>0</v>
      </c>
      <c r="E583" s="36">
        <f t="shared" ref="E583:F583" si="506">IF(B583=0,0,C583/B583)</f>
        <v>0</v>
      </c>
      <c r="F583" s="36">
        <f t="shared" si="506"/>
        <v>0</v>
      </c>
    </row>
    <row r="584" ht="15.75" customHeight="1">
      <c r="A584" s="35" t="s">
        <v>3</v>
      </c>
      <c r="B584" s="17">
        <f>SUM('Daily Input'!I277:I283)</f>
        <v>0</v>
      </c>
      <c r="C584" s="17">
        <f>SUM('Daily Input'!J277:J283)</f>
        <v>0</v>
      </c>
      <c r="D584" s="17">
        <f>SUM('Daily Input'!K277:K283)</f>
        <v>0</v>
      </c>
      <c r="E584" s="36">
        <f t="shared" ref="E584:F584" si="507">IF(B584=0,0,C584/B584)</f>
        <v>0</v>
      </c>
      <c r="F584" s="36">
        <f t="shared" si="507"/>
        <v>0</v>
      </c>
    </row>
    <row r="585" ht="15.75" customHeight="1">
      <c r="A585" s="35" t="s">
        <v>4</v>
      </c>
      <c r="B585" s="17">
        <f>SUM('Daily Input'!L277:L283)</f>
        <v>0</v>
      </c>
      <c r="C585" s="17">
        <f>SUM('Daily Input'!M277:M283)</f>
        <v>0</v>
      </c>
      <c r="D585" s="17">
        <f>SUM('Daily Input'!N277:N283)</f>
        <v>0</v>
      </c>
      <c r="E585" s="36">
        <f t="shared" ref="E585:F585" si="508">IF(B585=0,0,C585/B585)</f>
        <v>0</v>
      </c>
      <c r="F585" s="36">
        <f t="shared" si="508"/>
        <v>0</v>
      </c>
    </row>
    <row r="586" ht="15.75" customHeight="1">
      <c r="A586" s="35" t="s">
        <v>5</v>
      </c>
      <c r="B586" s="17">
        <f>SUM('Daily Input'!O277:O283)</f>
        <v>0</v>
      </c>
      <c r="C586" s="17">
        <f>SUM('Daily Input'!P277:P283)</f>
        <v>0</v>
      </c>
      <c r="D586" s="17">
        <f>SUM('Daily Input'!Q277:Q283)</f>
        <v>0</v>
      </c>
      <c r="E586" s="36">
        <f t="shared" ref="E586:F586" si="509">IF(B586=0,0,C586/B586)</f>
        <v>0</v>
      </c>
      <c r="F586" s="36">
        <f t="shared" si="509"/>
        <v>0</v>
      </c>
    </row>
    <row r="587" ht="15.75" customHeight="1">
      <c r="A587" s="35" t="s">
        <v>6</v>
      </c>
      <c r="B587" s="17">
        <f>SUM('Daily Input'!R277:R283)</f>
        <v>0</v>
      </c>
      <c r="C587" s="17">
        <f>SUM('Daily Input'!S277:S283)</f>
        <v>0</v>
      </c>
      <c r="D587" s="17">
        <f>SUM('Daily Input'!T277:T283)</f>
        <v>0</v>
      </c>
      <c r="E587" s="36">
        <f t="shared" ref="E587:F587" si="510">IF(B587=0,0,C587/B587)</f>
        <v>0</v>
      </c>
      <c r="F587" s="36">
        <f t="shared" si="510"/>
        <v>0</v>
      </c>
    </row>
    <row r="588" ht="15.75" customHeight="1">
      <c r="A588" s="35" t="s">
        <v>7</v>
      </c>
      <c r="B588" s="17">
        <f>SUM('Daily Input'!U277:U283)</f>
        <v>0</v>
      </c>
      <c r="C588" s="17">
        <f>SUM('Daily Input'!V277:V283)</f>
        <v>0</v>
      </c>
      <c r="D588" s="17">
        <f>SUM('Daily Input'!W277:W283)</f>
        <v>0</v>
      </c>
      <c r="E588" s="36">
        <f t="shared" ref="E588:F588" si="511">IF(B588=0,0,C588/B588)</f>
        <v>0</v>
      </c>
      <c r="F588" s="36">
        <f t="shared" si="511"/>
        <v>0</v>
      </c>
    </row>
    <row r="589" ht="15.75" customHeight="1">
      <c r="A589" s="35" t="s">
        <v>8</v>
      </c>
      <c r="B589" s="17">
        <f>SUM('Daily Input'!X277:X283)</f>
        <v>0</v>
      </c>
      <c r="C589" s="17">
        <f>SUM('Daily Input'!Y277:Y283)</f>
        <v>0</v>
      </c>
      <c r="D589" s="17">
        <f>SUM('Daily Input'!Z277:Z283)</f>
        <v>0</v>
      </c>
      <c r="E589" s="36">
        <f t="shared" ref="E589:F589" si="512">IF(B589=0,0,C589/B589)</f>
        <v>0</v>
      </c>
      <c r="F589" s="36">
        <f t="shared" si="512"/>
        <v>0</v>
      </c>
    </row>
    <row r="590" ht="15.75" customHeight="1">
      <c r="A590" s="35" t="s">
        <v>9</v>
      </c>
      <c r="B590" s="17">
        <f>SUM('Daily Input'!AA277:AA283)</f>
        <v>0</v>
      </c>
      <c r="C590" s="17">
        <f>SUM('Daily Input'!AB277:AB283)</f>
        <v>0</v>
      </c>
      <c r="D590" s="17">
        <f>SUM('Daily Input'!AC277:AC283)</f>
        <v>0</v>
      </c>
      <c r="E590" s="36">
        <f t="shared" ref="E590:F590" si="513">IF(B590=0,0,C590/B590)</f>
        <v>0</v>
      </c>
      <c r="F590" s="36">
        <f t="shared" si="513"/>
        <v>0</v>
      </c>
    </row>
    <row r="591" ht="15.75" customHeight="1">
      <c r="A591" s="35" t="s">
        <v>10</v>
      </c>
      <c r="B591" s="17">
        <f>SUM('Daily Input'!AD277:AD283)</f>
        <v>0</v>
      </c>
      <c r="C591" s="17">
        <f>SUM('Daily Input'!AE277:AE283)</f>
        <v>0</v>
      </c>
      <c r="D591" s="17">
        <f>SUM('Daily Input'!AF277:AF283)</f>
        <v>0</v>
      </c>
      <c r="E591" s="36">
        <f t="shared" ref="E591:F591" si="514">IF(B591=0,0,C591/B591)</f>
        <v>0</v>
      </c>
      <c r="F591" s="36">
        <f t="shared" si="514"/>
        <v>0</v>
      </c>
    </row>
    <row r="592" ht="15.75" customHeight="1">
      <c r="A592" s="35" t="s">
        <v>11</v>
      </c>
      <c r="B592" s="17">
        <f>SUM('Daily Input'!AG277:AG283)</f>
        <v>0</v>
      </c>
      <c r="C592" s="17">
        <f>SUM('Daily Input'!AH277:AH283)</f>
        <v>0</v>
      </c>
      <c r="D592" s="17">
        <f>SUM('Daily Input'!AI277:AI283)</f>
        <v>0</v>
      </c>
      <c r="E592" s="36">
        <f t="shared" ref="E592:F592" si="515">IF(B592=0,0,C592/B592)</f>
        <v>0</v>
      </c>
      <c r="F592" s="36">
        <f t="shared" si="515"/>
        <v>0</v>
      </c>
    </row>
    <row r="593" ht="15.75" customHeight="1">
      <c r="A593" s="35" t="s">
        <v>12</v>
      </c>
      <c r="B593" s="17">
        <f>SUM('Daily Input'!AJ277:AJ283)</f>
        <v>0</v>
      </c>
      <c r="C593" s="17">
        <f>SUM('Daily Input'!AK277:AK283)</f>
        <v>0</v>
      </c>
      <c r="D593" s="17">
        <f>SUM('Daily Input'!AL277:AL283)</f>
        <v>0</v>
      </c>
      <c r="E593" s="36">
        <f t="shared" ref="E593:F593" si="516">IF(B593=0,0,C593/B593)</f>
        <v>0</v>
      </c>
      <c r="F593" s="36">
        <f t="shared" si="516"/>
        <v>0</v>
      </c>
    </row>
    <row r="594" ht="15.75" customHeight="1">
      <c r="A594" s="37" t="s">
        <v>59</v>
      </c>
      <c r="B594" s="29">
        <f t="shared" ref="B594:D594" si="517">SUM(B582:B593)</f>
        <v>0</v>
      </c>
      <c r="C594" s="29">
        <f t="shared" si="517"/>
        <v>0</v>
      </c>
      <c r="D594" s="29">
        <f t="shared" si="517"/>
        <v>0</v>
      </c>
      <c r="E594" s="30">
        <f t="shared" ref="E594:F594" si="518">IF(B594=0,0,C594/B594)</f>
        <v>0</v>
      </c>
      <c r="F594" s="30">
        <f t="shared" si="518"/>
        <v>0</v>
      </c>
    </row>
    <row r="595" ht="15.75" customHeight="1"/>
    <row r="596" ht="15.75" customHeight="1">
      <c r="A596" s="33" t="s">
        <v>96</v>
      </c>
      <c r="B596" s="4"/>
      <c r="C596" s="4"/>
      <c r="D596" s="4"/>
      <c r="E596" s="4"/>
      <c r="F596" s="4"/>
      <c r="G596" s="4"/>
      <c r="H596" s="5"/>
    </row>
    <row r="597" ht="15.75" customHeight="1">
      <c r="A597" s="34" t="s">
        <v>55</v>
      </c>
      <c r="B597" s="34" t="s">
        <v>16</v>
      </c>
      <c r="C597" s="34" t="s">
        <v>17</v>
      </c>
      <c r="D597" s="34" t="s">
        <v>56</v>
      </c>
      <c r="E597" s="34" t="s">
        <v>57</v>
      </c>
      <c r="F597" s="34" t="s">
        <v>58</v>
      </c>
    </row>
    <row r="598" ht="15.75" customHeight="1">
      <c r="A598" s="35" t="s">
        <v>1</v>
      </c>
      <c r="B598" s="17">
        <f>SUM('Daily Input'!C284:C290)</f>
        <v>0</v>
      </c>
      <c r="C598" s="17">
        <f>SUM('Daily Input'!D284:D290)</f>
        <v>0</v>
      </c>
      <c r="D598" s="17">
        <f>SUM('Daily Input'!E284:E290)</f>
        <v>0</v>
      </c>
      <c r="E598" s="36">
        <f t="shared" ref="E598:F598" si="519">IF(B598=0,0,C598/B598)</f>
        <v>0</v>
      </c>
      <c r="F598" s="36">
        <f t="shared" si="519"/>
        <v>0</v>
      </c>
    </row>
    <row r="599" ht="15.75" customHeight="1">
      <c r="A599" s="35" t="s">
        <v>2</v>
      </c>
      <c r="B599" s="17">
        <f>SUM('Daily Input'!F284:F290)</f>
        <v>0</v>
      </c>
      <c r="C599" s="17">
        <f>SUM('Daily Input'!G284:G290)</f>
        <v>0</v>
      </c>
      <c r="D599" s="17">
        <f>SUM('Daily Input'!H284:H290)</f>
        <v>0</v>
      </c>
      <c r="E599" s="36">
        <f t="shared" ref="E599:F599" si="520">IF(B599=0,0,C599/B599)</f>
        <v>0</v>
      </c>
      <c r="F599" s="36">
        <f t="shared" si="520"/>
        <v>0</v>
      </c>
    </row>
    <row r="600" ht="15.75" customHeight="1">
      <c r="A600" s="35" t="s">
        <v>3</v>
      </c>
      <c r="B600" s="17">
        <f>SUM('Daily Input'!I284:I290)</f>
        <v>0</v>
      </c>
      <c r="C600" s="17">
        <f>SUM('Daily Input'!J284:J290)</f>
        <v>0</v>
      </c>
      <c r="D600" s="17">
        <f>SUM('Daily Input'!K284:K290)</f>
        <v>0</v>
      </c>
      <c r="E600" s="36">
        <f t="shared" ref="E600:F600" si="521">IF(B600=0,0,C600/B600)</f>
        <v>0</v>
      </c>
      <c r="F600" s="36">
        <f t="shared" si="521"/>
        <v>0</v>
      </c>
    </row>
    <row r="601" ht="15.75" customHeight="1">
      <c r="A601" s="35" t="s">
        <v>4</v>
      </c>
      <c r="B601" s="17">
        <f>SUM('Daily Input'!L284:L290)</f>
        <v>0</v>
      </c>
      <c r="C601" s="17">
        <f>SUM('Daily Input'!M284:M290)</f>
        <v>0</v>
      </c>
      <c r="D601" s="17">
        <f>SUM('Daily Input'!N284:N290)</f>
        <v>0</v>
      </c>
      <c r="E601" s="36">
        <f t="shared" ref="E601:F601" si="522">IF(B601=0,0,C601/B601)</f>
        <v>0</v>
      </c>
      <c r="F601" s="36">
        <f t="shared" si="522"/>
        <v>0</v>
      </c>
    </row>
    <row r="602" ht="15.75" customHeight="1">
      <c r="A602" s="35" t="s">
        <v>5</v>
      </c>
      <c r="B602" s="17">
        <f>SUM('Daily Input'!O284:O290)</f>
        <v>0</v>
      </c>
      <c r="C602" s="17">
        <f>SUM('Daily Input'!P284:P290)</f>
        <v>0</v>
      </c>
      <c r="D602" s="17">
        <f>SUM('Daily Input'!Q284:Q290)</f>
        <v>0</v>
      </c>
      <c r="E602" s="36">
        <f t="shared" ref="E602:F602" si="523">IF(B602=0,0,C602/B602)</f>
        <v>0</v>
      </c>
      <c r="F602" s="36">
        <f t="shared" si="523"/>
        <v>0</v>
      </c>
    </row>
    <row r="603" ht="15.75" customHeight="1">
      <c r="A603" s="35" t="s">
        <v>6</v>
      </c>
      <c r="B603" s="17">
        <f>SUM('Daily Input'!R284:R290)</f>
        <v>0</v>
      </c>
      <c r="C603" s="17">
        <f>SUM('Daily Input'!S284:S290)</f>
        <v>0</v>
      </c>
      <c r="D603" s="17">
        <f>SUM('Daily Input'!T284:T290)</f>
        <v>0</v>
      </c>
      <c r="E603" s="36">
        <f t="shared" ref="E603:F603" si="524">IF(B603=0,0,C603/B603)</f>
        <v>0</v>
      </c>
      <c r="F603" s="36">
        <f t="shared" si="524"/>
        <v>0</v>
      </c>
    </row>
    <row r="604" ht="15.75" customHeight="1">
      <c r="A604" s="35" t="s">
        <v>7</v>
      </c>
      <c r="B604" s="17">
        <f>SUM('Daily Input'!U284:U290)</f>
        <v>0</v>
      </c>
      <c r="C604" s="17">
        <f>SUM('Daily Input'!V284:V290)</f>
        <v>0</v>
      </c>
      <c r="D604" s="17">
        <f>SUM('Daily Input'!W284:W290)</f>
        <v>0</v>
      </c>
      <c r="E604" s="36">
        <f t="shared" ref="E604:F604" si="525">IF(B604=0,0,C604/B604)</f>
        <v>0</v>
      </c>
      <c r="F604" s="36">
        <f t="shared" si="525"/>
        <v>0</v>
      </c>
    </row>
    <row r="605" ht="15.75" customHeight="1">
      <c r="A605" s="35" t="s">
        <v>8</v>
      </c>
      <c r="B605" s="17">
        <f>SUM('Daily Input'!X284:X290)</f>
        <v>0</v>
      </c>
      <c r="C605" s="17">
        <f>SUM('Daily Input'!Y284:Y290)</f>
        <v>0</v>
      </c>
      <c r="D605" s="17">
        <f>SUM('Daily Input'!Z284:Z290)</f>
        <v>0</v>
      </c>
      <c r="E605" s="36">
        <f t="shared" ref="E605:F605" si="526">IF(B605=0,0,C605/B605)</f>
        <v>0</v>
      </c>
      <c r="F605" s="36">
        <f t="shared" si="526"/>
        <v>0</v>
      </c>
    </row>
    <row r="606" ht="15.75" customHeight="1">
      <c r="A606" s="35" t="s">
        <v>9</v>
      </c>
      <c r="B606" s="17">
        <f>SUM('Daily Input'!AA284:AA290)</f>
        <v>0</v>
      </c>
      <c r="C606" s="17">
        <f>SUM('Daily Input'!AB284:AB290)</f>
        <v>0</v>
      </c>
      <c r="D606" s="17">
        <f>SUM('Daily Input'!AC284:AC290)</f>
        <v>0</v>
      </c>
      <c r="E606" s="36">
        <f t="shared" ref="E606:F606" si="527">IF(B606=0,0,C606/B606)</f>
        <v>0</v>
      </c>
      <c r="F606" s="36">
        <f t="shared" si="527"/>
        <v>0</v>
      </c>
    </row>
    <row r="607" ht="15.75" customHeight="1">
      <c r="A607" s="35" t="s">
        <v>10</v>
      </c>
      <c r="B607" s="17">
        <f>SUM('Daily Input'!AD284:AD290)</f>
        <v>0</v>
      </c>
      <c r="C607" s="17">
        <f>SUM('Daily Input'!AE284:AE290)</f>
        <v>0</v>
      </c>
      <c r="D607" s="17">
        <f>SUM('Daily Input'!AF284:AF290)</f>
        <v>0</v>
      </c>
      <c r="E607" s="36">
        <f t="shared" ref="E607:F607" si="528">IF(B607=0,0,C607/B607)</f>
        <v>0</v>
      </c>
      <c r="F607" s="36">
        <f t="shared" si="528"/>
        <v>0</v>
      </c>
    </row>
    <row r="608" ht="15.75" customHeight="1">
      <c r="A608" s="35" t="s">
        <v>11</v>
      </c>
      <c r="B608" s="17">
        <f>SUM('Daily Input'!AG284:AG290)</f>
        <v>0</v>
      </c>
      <c r="C608" s="17">
        <f>SUM('Daily Input'!AH284:AH290)</f>
        <v>0</v>
      </c>
      <c r="D608" s="17">
        <f>SUM('Daily Input'!AI284:AI290)</f>
        <v>0</v>
      </c>
      <c r="E608" s="36">
        <f t="shared" ref="E608:F608" si="529">IF(B608=0,0,C608/B608)</f>
        <v>0</v>
      </c>
      <c r="F608" s="36">
        <f t="shared" si="529"/>
        <v>0</v>
      </c>
    </row>
    <row r="609" ht="15.75" customHeight="1">
      <c r="A609" s="35" t="s">
        <v>12</v>
      </c>
      <c r="B609" s="17">
        <f>SUM('Daily Input'!AJ284:AJ290)</f>
        <v>0</v>
      </c>
      <c r="C609" s="17">
        <f>SUM('Daily Input'!AK284:AK290)</f>
        <v>0</v>
      </c>
      <c r="D609" s="17">
        <f>SUM('Daily Input'!AL284:AL290)</f>
        <v>0</v>
      </c>
      <c r="E609" s="36">
        <f t="shared" ref="E609:F609" si="530">IF(B609=0,0,C609/B609)</f>
        <v>0</v>
      </c>
      <c r="F609" s="36">
        <f t="shared" si="530"/>
        <v>0</v>
      </c>
    </row>
    <row r="610" ht="15.75" customHeight="1">
      <c r="A610" s="37" t="s">
        <v>59</v>
      </c>
      <c r="B610" s="29">
        <f t="shared" ref="B610:D610" si="531">SUM(B598:B609)</f>
        <v>0</v>
      </c>
      <c r="C610" s="29">
        <f t="shared" si="531"/>
        <v>0</v>
      </c>
      <c r="D610" s="29">
        <f t="shared" si="531"/>
        <v>0</v>
      </c>
      <c r="E610" s="30">
        <f t="shared" ref="E610:F610" si="532">IF(B610=0,0,C610/B610)</f>
        <v>0</v>
      </c>
      <c r="F610" s="30">
        <f t="shared" si="532"/>
        <v>0</v>
      </c>
    </row>
    <row r="611" ht="15.75" customHeight="1"/>
    <row r="612" ht="15.75" customHeight="1">
      <c r="A612" s="33" t="s">
        <v>97</v>
      </c>
      <c r="B612" s="4"/>
      <c r="C612" s="4"/>
      <c r="D612" s="4"/>
      <c r="E612" s="4"/>
      <c r="F612" s="4"/>
      <c r="G612" s="4"/>
      <c r="H612" s="5"/>
    </row>
    <row r="613" ht="15.75" customHeight="1">
      <c r="A613" s="34" t="s">
        <v>55</v>
      </c>
      <c r="B613" s="34" t="s">
        <v>16</v>
      </c>
      <c r="C613" s="34" t="s">
        <v>17</v>
      </c>
      <c r="D613" s="34" t="s">
        <v>56</v>
      </c>
      <c r="E613" s="34" t="s">
        <v>57</v>
      </c>
      <c r="F613" s="34" t="s">
        <v>58</v>
      </c>
    </row>
    <row r="614" ht="15.75" customHeight="1">
      <c r="A614" s="35" t="s">
        <v>1</v>
      </c>
      <c r="B614" s="17">
        <f>SUM('Daily Input'!C291:C297)</f>
        <v>0</v>
      </c>
      <c r="C614" s="17">
        <f>SUM('Daily Input'!D291:D297)</f>
        <v>0</v>
      </c>
      <c r="D614" s="17">
        <f>SUM('Daily Input'!E291:E297)</f>
        <v>0</v>
      </c>
      <c r="E614" s="36">
        <f t="shared" ref="E614:F614" si="533">IF(B614=0,0,C614/B614)</f>
        <v>0</v>
      </c>
      <c r="F614" s="36">
        <f t="shared" si="533"/>
        <v>0</v>
      </c>
    </row>
    <row r="615" ht="15.75" customHeight="1">
      <c r="A615" s="35" t="s">
        <v>2</v>
      </c>
      <c r="B615" s="17">
        <f>SUM('Daily Input'!F291:F297)</f>
        <v>0</v>
      </c>
      <c r="C615" s="17">
        <f>SUM('Daily Input'!G291:G297)</f>
        <v>0</v>
      </c>
      <c r="D615" s="17">
        <f>SUM('Daily Input'!H291:H297)</f>
        <v>0</v>
      </c>
      <c r="E615" s="36">
        <f t="shared" ref="E615:F615" si="534">IF(B615=0,0,C615/B615)</f>
        <v>0</v>
      </c>
      <c r="F615" s="36">
        <f t="shared" si="534"/>
        <v>0</v>
      </c>
    </row>
    <row r="616" ht="15.75" customHeight="1">
      <c r="A616" s="35" t="s">
        <v>3</v>
      </c>
      <c r="B616" s="17">
        <f>SUM('Daily Input'!I291:I297)</f>
        <v>0</v>
      </c>
      <c r="C616" s="17">
        <f>SUM('Daily Input'!J291:J297)</f>
        <v>0</v>
      </c>
      <c r="D616" s="17">
        <f>SUM('Daily Input'!K291:K297)</f>
        <v>0</v>
      </c>
      <c r="E616" s="36">
        <f t="shared" ref="E616:F616" si="535">IF(B616=0,0,C616/B616)</f>
        <v>0</v>
      </c>
      <c r="F616" s="36">
        <f t="shared" si="535"/>
        <v>0</v>
      </c>
    </row>
    <row r="617" ht="15.75" customHeight="1">
      <c r="A617" s="35" t="s">
        <v>4</v>
      </c>
      <c r="B617" s="17">
        <f>SUM('Daily Input'!L291:L297)</f>
        <v>0</v>
      </c>
      <c r="C617" s="17">
        <f>SUM('Daily Input'!M291:M297)</f>
        <v>0</v>
      </c>
      <c r="D617" s="17">
        <f>SUM('Daily Input'!N291:N297)</f>
        <v>0</v>
      </c>
      <c r="E617" s="36">
        <f t="shared" ref="E617:F617" si="536">IF(B617=0,0,C617/B617)</f>
        <v>0</v>
      </c>
      <c r="F617" s="36">
        <f t="shared" si="536"/>
        <v>0</v>
      </c>
    </row>
    <row r="618" ht="15.75" customHeight="1">
      <c r="A618" s="35" t="s">
        <v>5</v>
      </c>
      <c r="B618" s="17">
        <f>SUM('Daily Input'!O291:O297)</f>
        <v>0</v>
      </c>
      <c r="C618" s="17">
        <f>SUM('Daily Input'!P291:P297)</f>
        <v>0</v>
      </c>
      <c r="D618" s="17">
        <f>SUM('Daily Input'!Q291:Q297)</f>
        <v>0</v>
      </c>
      <c r="E618" s="36">
        <f t="shared" ref="E618:F618" si="537">IF(B618=0,0,C618/B618)</f>
        <v>0</v>
      </c>
      <c r="F618" s="36">
        <f t="shared" si="537"/>
        <v>0</v>
      </c>
    </row>
    <row r="619" ht="15.75" customHeight="1">
      <c r="A619" s="35" t="s">
        <v>6</v>
      </c>
      <c r="B619" s="17">
        <f>SUM('Daily Input'!R291:R297)</f>
        <v>0</v>
      </c>
      <c r="C619" s="17">
        <f>SUM('Daily Input'!S291:S297)</f>
        <v>0</v>
      </c>
      <c r="D619" s="17">
        <f>SUM('Daily Input'!T291:T297)</f>
        <v>0</v>
      </c>
      <c r="E619" s="36">
        <f t="shared" ref="E619:F619" si="538">IF(B619=0,0,C619/B619)</f>
        <v>0</v>
      </c>
      <c r="F619" s="36">
        <f t="shared" si="538"/>
        <v>0</v>
      </c>
    </row>
    <row r="620" ht="15.75" customHeight="1">
      <c r="A620" s="35" t="s">
        <v>7</v>
      </c>
      <c r="B620" s="17">
        <f>SUM('Daily Input'!U291:U297)</f>
        <v>0</v>
      </c>
      <c r="C620" s="17">
        <f>SUM('Daily Input'!V291:V297)</f>
        <v>0</v>
      </c>
      <c r="D620" s="17">
        <f>SUM('Daily Input'!W291:W297)</f>
        <v>0</v>
      </c>
      <c r="E620" s="36">
        <f t="shared" ref="E620:F620" si="539">IF(B620=0,0,C620/B620)</f>
        <v>0</v>
      </c>
      <c r="F620" s="36">
        <f t="shared" si="539"/>
        <v>0</v>
      </c>
    </row>
    <row r="621" ht="15.75" customHeight="1">
      <c r="A621" s="35" t="s">
        <v>8</v>
      </c>
      <c r="B621" s="17">
        <f>SUM('Daily Input'!X291:X297)</f>
        <v>0</v>
      </c>
      <c r="C621" s="17">
        <f>SUM('Daily Input'!Y291:Y297)</f>
        <v>0</v>
      </c>
      <c r="D621" s="17">
        <f>SUM('Daily Input'!Z291:Z297)</f>
        <v>0</v>
      </c>
      <c r="E621" s="36">
        <f t="shared" ref="E621:F621" si="540">IF(B621=0,0,C621/B621)</f>
        <v>0</v>
      </c>
      <c r="F621" s="36">
        <f t="shared" si="540"/>
        <v>0</v>
      </c>
    </row>
    <row r="622" ht="15.75" customHeight="1">
      <c r="A622" s="35" t="s">
        <v>9</v>
      </c>
      <c r="B622" s="17">
        <f>SUM('Daily Input'!AA291:AA297)</f>
        <v>0</v>
      </c>
      <c r="C622" s="17">
        <f>SUM('Daily Input'!AB291:AB297)</f>
        <v>0</v>
      </c>
      <c r="D622" s="17">
        <f>SUM('Daily Input'!AC291:AC297)</f>
        <v>0</v>
      </c>
      <c r="E622" s="36">
        <f t="shared" ref="E622:F622" si="541">IF(B622=0,0,C622/B622)</f>
        <v>0</v>
      </c>
      <c r="F622" s="36">
        <f t="shared" si="541"/>
        <v>0</v>
      </c>
    </row>
    <row r="623" ht="15.75" customHeight="1">
      <c r="A623" s="35" t="s">
        <v>10</v>
      </c>
      <c r="B623" s="17">
        <f>SUM('Daily Input'!AD291:AD297)</f>
        <v>0</v>
      </c>
      <c r="C623" s="17">
        <f>SUM('Daily Input'!AE291:AE297)</f>
        <v>0</v>
      </c>
      <c r="D623" s="17">
        <f>SUM('Daily Input'!AF291:AF297)</f>
        <v>0</v>
      </c>
      <c r="E623" s="36">
        <f t="shared" ref="E623:F623" si="542">IF(B623=0,0,C623/B623)</f>
        <v>0</v>
      </c>
      <c r="F623" s="36">
        <f t="shared" si="542"/>
        <v>0</v>
      </c>
    </row>
    <row r="624" ht="15.75" customHeight="1">
      <c r="A624" s="35" t="s">
        <v>11</v>
      </c>
      <c r="B624" s="17">
        <f>SUM('Daily Input'!AG291:AG297)</f>
        <v>0</v>
      </c>
      <c r="C624" s="17">
        <f>SUM('Daily Input'!AH291:AH297)</f>
        <v>0</v>
      </c>
      <c r="D624" s="17">
        <f>SUM('Daily Input'!AI291:AI297)</f>
        <v>0</v>
      </c>
      <c r="E624" s="36">
        <f t="shared" ref="E624:F624" si="543">IF(B624=0,0,C624/B624)</f>
        <v>0</v>
      </c>
      <c r="F624" s="36">
        <f t="shared" si="543"/>
        <v>0</v>
      </c>
    </row>
    <row r="625" ht="15.75" customHeight="1">
      <c r="A625" s="35" t="s">
        <v>12</v>
      </c>
      <c r="B625" s="17">
        <f>SUM('Daily Input'!AJ291:AJ297)</f>
        <v>0</v>
      </c>
      <c r="C625" s="17">
        <f>SUM('Daily Input'!AK291:AK297)</f>
        <v>0</v>
      </c>
      <c r="D625" s="17">
        <f>SUM('Daily Input'!AL291:AL297)</f>
        <v>0</v>
      </c>
      <c r="E625" s="36">
        <f t="shared" ref="E625:F625" si="544">IF(B625=0,0,C625/B625)</f>
        <v>0</v>
      </c>
      <c r="F625" s="36">
        <f t="shared" si="544"/>
        <v>0</v>
      </c>
    </row>
    <row r="626" ht="15.75" customHeight="1">
      <c r="A626" s="37" t="s">
        <v>59</v>
      </c>
      <c r="B626" s="29">
        <f t="shared" ref="B626:D626" si="545">SUM(B614:B625)</f>
        <v>0</v>
      </c>
      <c r="C626" s="29">
        <f t="shared" si="545"/>
        <v>0</v>
      </c>
      <c r="D626" s="29">
        <f t="shared" si="545"/>
        <v>0</v>
      </c>
      <c r="E626" s="30">
        <f t="shared" ref="E626:F626" si="546">IF(B626=0,0,C626/B626)</f>
        <v>0</v>
      </c>
      <c r="F626" s="30">
        <f t="shared" si="546"/>
        <v>0</v>
      </c>
    </row>
    <row r="627" ht="15.75" customHeight="1"/>
    <row r="628" ht="15.75" customHeight="1">
      <c r="A628" s="33" t="s">
        <v>98</v>
      </c>
      <c r="B628" s="4"/>
      <c r="C628" s="4"/>
      <c r="D628" s="4"/>
      <c r="E628" s="4"/>
      <c r="F628" s="4"/>
      <c r="G628" s="4"/>
      <c r="H628" s="5"/>
    </row>
    <row r="629" ht="15.75" customHeight="1">
      <c r="A629" s="34" t="s">
        <v>55</v>
      </c>
      <c r="B629" s="34" t="s">
        <v>16</v>
      </c>
      <c r="C629" s="34" t="s">
        <v>17</v>
      </c>
      <c r="D629" s="34" t="s">
        <v>56</v>
      </c>
      <c r="E629" s="34" t="s">
        <v>57</v>
      </c>
      <c r="F629" s="34" t="s">
        <v>58</v>
      </c>
    </row>
    <row r="630" ht="15.75" customHeight="1">
      <c r="A630" s="35" t="s">
        <v>1</v>
      </c>
      <c r="B630" s="17">
        <f>SUM('Daily Input'!C298:C307)</f>
        <v>0</v>
      </c>
      <c r="C630" s="17">
        <f>SUM('Daily Input'!D298:D307)</f>
        <v>0</v>
      </c>
      <c r="D630" s="17">
        <f>SUM('Daily Input'!E298:E307)</f>
        <v>0</v>
      </c>
      <c r="E630" s="36">
        <f t="shared" ref="E630:F630" si="547">IF(B630=0,0,C630/B630)</f>
        <v>0</v>
      </c>
      <c r="F630" s="36">
        <f t="shared" si="547"/>
        <v>0</v>
      </c>
    </row>
    <row r="631" ht="15.75" customHeight="1">
      <c r="A631" s="35" t="s">
        <v>2</v>
      </c>
      <c r="B631" s="17">
        <f>SUM('Daily Input'!F298:F307)</f>
        <v>0</v>
      </c>
      <c r="C631" s="17">
        <f>SUM('Daily Input'!G298:G307)</f>
        <v>0</v>
      </c>
      <c r="D631" s="17">
        <f>SUM('Daily Input'!H298:H307)</f>
        <v>0</v>
      </c>
      <c r="E631" s="36">
        <f t="shared" ref="E631:F631" si="548">IF(B631=0,0,C631/B631)</f>
        <v>0</v>
      </c>
      <c r="F631" s="36">
        <f t="shared" si="548"/>
        <v>0</v>
      </c>
    </row>
    <row r="632" ht="15.75" customHeight="1">
      <c r="A632" s="35" t="s">
        <v>3</v>
      </c>
      <c r="B632" s="17">
        <f>SUM('Daily Input'!I298:I307)</f>
        <v>0</v>
      </c>
      <c r="C632" s="17">
        <f>SUM('Daily Input'!J298:J307)</f>
        <v>0</v>
      </c>
      <c r="D632" s="17">
        <f>SUM('Daily Input'!K298:K307)</f>
        <v>0</v>
      </c>
      <c r="E632" s="36">
        <f t="shared" ref="E632:F632" si="549">IF(B632=0,0,C632/B632)</f>
        <v>0</v>
      </c>
      <c r="F632" s="36">
        <f t="shared" si="549"/>
        <v>0</v>
      </c>
    </row>
    <row r="633" ht="15.75" customHeight="1">
      <c r="A633" s="35" t="s">
        <v>4</v>
      </c>
      <c r="B633" s="17">
        <f>SUM('Daily Input'!L298:L307)</f>
        <v>0</v>
      </c>
      <c r="C633" s="17">
        <f>SUM('Daily Input'!M298:M307)</f>
        <v>0</v>
      </c>
      <c r="D633" s="17">
        <f>SUM('Daily Input'!N298:N307)</f>
        <v>0</v>
      </c>
      <c r="E633" s="36">
        <f t="shared" ref="E633:F633" si="550">IF(B633=0,0,C633/B633)</f>
        <v>0</v>
      </c>
      <c r="F633" s="36">
        <f t="shared" si="550"/>
        <v>0</v>
      </c>
    </row>
    <row r="634" ht="15.75" customHeight="1">
      <c r="A634" s="35" t="s">
        <v>5</v>
      </c>
      <c r="B634" s="17">
        <f>SUM('Daily Input'!O298:O307)</f>
        <v>0</v>
      </c>
      <c r="C634" s="17">
        <f>SUM('Daily Input'!P298:P307)</f>
        <v>0</v>
      </c>
      <c r="D634" s="17">
        <f>SUM('Daily Input'!Q298:Q307)</f>
        <v>0</v>
      </c>
      <c r="E634" s="36">
        <f t="shared" ref="E634:F634" si="551">IF(B634=0,0,C634/B634)</f>
        <v>0</v>
      </c>
      <c r="F634" s="36">
        <f t="shared" si="551"/>
        <v>0</v>
      </c>
    </row>
    <row r="635" ht="15.75" customHeight="1">
      <c r="A635" s="35" t="s">
        <v>6</v>
      </c>
      <c r="B635" s="17">
        <f>SUM('Daily Input'!R298:R307)</f>
        <v>0</v>
      </c>
      <c r="C635" s="17">
        <f>SUM('Daily Input'!S298:S307)</f>
        <v>0</v>
      </c>
      <c r="D635" s="17">
        <f>SUM('Daily Input'!T298:T307)</f>
        <v>0</v>
      </c>
      <c r="E635" s="36">
        <f t="shared" ref="E635:F635" si="552">IF(B635=0,0,C635/B635)</f>
        <v>0</v>
      </c>
      <c r="F635" s="36">
        <f t="shared" si="552"/>
        <v>0</v>
      </c>
    </row>
    <row r="636" ht="15.75" customHeight="1">
      <c r="A636" s="35" t="s">
        <v>7</v>
      </c>
      <c r="B636" s="17">
        <f>SUM('Daily Input'!U298:U307)</f>
        <v>0</v>
      </c>
      <c r="C636" s="17">
        <f>SUM('Daily Input'!V298:V307)</f>
        <v>0</v>
      </c>
      <c r="D636" s="17">
        <f>SUM('Daily Input'!W298:W307)</f>
        <v>0</v>
      </c>
      <c r="E636" s="36">
        <f t="shared" ref="E636:F636" si="553">IF(B636=0,0,C636/B636)</f>
        <v>0</v>
      </c>
      <c r="F636" s="36">
        <f t="shared" si="553"/>
        <v>0</v>
      </c>
    </row>
    <row r="637" ht="15.75" customHeight="1">
      <c r="A637" s="35" t="s">
        <v>8</v>
      </c>
      <c r="B637" s="17">
        <f>SUM('Daily Input'!X298:X307)</f>
        <v>0</v>
      </c>
      <c r="C637" s="17">
        <f>SUM('Daily Input'!Y298:Y307)</f>
        <v>0</v>
      </c>
      <c r="D637" s="17">
        <f>SUM('Daily Input'!Z298:Z307)</f>
        <v>0</v>
      </c>
      <c r="E637" s="36">
        <f t="shared" ref="E637:F637" si="554">IF(B637=0,0,C637/B637)</f>
        <v>0</v>
      </c>
      <c r="F637" s="36">
        <f t="shared" si="554"/>
        <v>0</v>
      </c>
    </row>
    <row r="638" ht="15.75" customHeight="1">
      <c r="A638" s="35" t="s">
        <v>9</v>
      </c>
      <c r="B638" s="17">
        <f>SUM('Daily Input'!AA298:AA307)</f>
        <v>0</v>
      </c>
      <c r="C638" s="17">
        <f>SUM('Daily Input'!AB298:AB307)</f>
        <v>0</v>
      </c>
      <c r="D638" s="17">
        <f>SUM('Daily Input'!AC298:AC307)</f>
        <v>0</v>
      </c>
      <c r="E638" s="36">
        <f t="shared" ref="E638:F638" si="555">IF(B638=0,0,C638/B638)</f>
        <v>0</v>
      </c>
      <c r="F638" s="36">
        <f t="shared" si="555"/>
        <v>0</v>
      </c>
    </row>
    <row r="639" ht="15.75" customHeight="1">
      <c r="A639" s="35" t="s">
        <v>10</v>
      </c>
      <c r="B639" s="17">
        <f>SUM('Daily Input'!AD298:AD307)</f>
        <v>0</v>
      </c>
      <c r="C639" s="17">
        <f>SUM('Daily Input'!AE298:AE307)</f>
        <v>0</v>
      </c>
      <c r="D639" s="17">
        <f>SUM('Daily Input'!AF298:AF307)</f>
        <v>0</v>
      </c>
      <c r="E639" s="36">
        <f t="shared" ref="E639:F639" si="556">IF(B639=0,0,C639/B639)</f>
        <v>0</v>
      </c>
      <c r="F639" s="36">
        <f t="shared" si="556"/>
        <v>0</v>
      </c>
    </row>
    <row r="640" ht="15.75" customHeight="1">
      <c r="A640" s="35" t="s">
        <v>11</v>
      </c>
      <c r="B640" s="17">
        <f>SUM('Daily Input'!AG298:AG307)</f>
        <v>0</v>
      </c>
      <c r="C640" s="17">
        <f>SUM('Daily Input'!AH298:AH307)</f>
        <v>0</v>
      </c>
      <c r="D640" s="17">
        <f>SUM('Daily Input'!AI298:AI307)</f>
        <v>0</v>
      </c>
      <c r="E640" s="36">
        <f t="shared" ref="E640:F640" si="557">IF(B640=0,0,C640/B640)</f>
        <v>0</v>
      </c>
      <c r="F640" s="36">
        <f t="shared" si="557"/>
        <v>0</v>
      </c>
    </row>
    <row r="641" ht="15.75" customHeight="1">
      <c r="A641" s="35" t="s">
        <v>12</v>
      </c>
      <c r="B641" s="17">
        <f>SUM('Daily Input'!AJ298:AJ307)</f>
        <v>0</v>
      </c>
      <c r="C641" s="17">
        <f>SUM('Daily Input'!AK298:AK307)</f>
        <v>0</v>
      </c>
      <c r="D641" s="17">
        <f>SUM('Daily Input'!AL298:AL307)</f>
        <v>0</v>
      </c>
      <c r="E641" s="36">
        <f t="shared" ref="E641:F641" si="558">IF(B641=0,0,C641/B641)</f>
        <v>0</v>
      </c>
      <c r="F641" s="36">
        <f t="shared" si="558"/>
        <v>0</v>
      </c>
    </row>
    <row r="642" ht="15.75" customHeight="1">
      <c r="A642" s="37" t="s">
        <v>59</v>
      </c>
      <c r="B642" s="29">
        <f t="shared" ref="B642:D642" si="559">SUM(B630:B641)</f>
        <v>0</v>
      </c>
      <c r="C642" s="29">
        <f t="shared" si="559"/>
        <v>0</v>
      </c>
      <c r="D642" s="29">
        <f t="shared" si="559"/>
        <v>0</v>
      </c>
      <c r="E642" s="30">
        <f t="shared" ref="E642:F642" si="560">IF(B642=0,0,C642/B642)</f>
        <v>0</v>
      </c>
      <c r="F642" s="30">
        <f t="shared" si="560"/>
        <v>0</v>
      </c>
    </row>
    <row r="643" ht="15.75" customHeight="1"/>
    <row r="644" ht="15.75" customHeight="1">
      <c r="A644" s="33" t="s">
        <v>99</v>
      </c>
      <c r="B644" s="4"/>
      <c r="C644" s="4"/>
      <c r="D644" s="4"/>
      <c r="E644" s="4"/>
      <c r="F644" s="4"/>
      <c r="G644" s="4"/>
      <c r="H644" s="5"/>
    </row>
    <row r="645" ht="15.75" customHeight="1">
      <c r="A645" s="34" t="s">
        <v>55</v>
      </c>
      <c r="B645" s="34" t="s">
        <v>16</v>
      </c>
      <c r="C645" s="34" t="s">
        <v>17</v>
      </c>
      <c r="D645" s="34" t="s">
        <v>56</v>
      </c>
      <c r="E645" s="34" t="s">
        <v>57</v>
      </c>
      <c r="F645" s="34" t="s">
        <v>58</v>
      </c>
    </row>
    <row r="646" ht="15.75" customHeight="1">
      <c r="A646" s="35" t="s">
        <v>1</v>
      </c>
      <c r="B646" s="17">
        <f>SUM('Daily Input'!C308:C314)</f>
        <v>0</v>
      </c>
      <c r="C646" s="17">
        <f>SUM('Daily Input'!D308:D314)</f>
        <v>0</v>
      </c>
      <c r="D646" s="17">
        <f>SUM('Daily Input'!E308:E314)</f>
        <v>0</v>
      </c>
      <c r="E646" s="36">
        <f t="shared" ref="E646:F646" si="561">IF(B646=0,0,C646/B646)</f>
        <v>0</v>
      </c>
      <c r="F646" s="36">
        <f t="shared" si="561"/>
        <v>0</v>
      </c>
    </row>
    <row r="647" ht="15.75" customHeight="1">
      <c r="A647" s="35" t="s">
        <v>2</v>
      </c>
      <c r="B647" s="17">
        <f>SUM('Daily Input'!F308:F314)</f>
        <v>0</v>
      </c>
      <c r="C647" s="17">
        <f>SUM('Daily Input'!G308:G314)</f>
        <v>0</v>
      </c>
      <c r="D647" s="17">
        <f>SUM('Daily Input'!H308:H314)</f>
        <v>0</v>
      </c>
      <c r="E647" s="36">
        <f t="shared" ref="E647:F647" si="562">IF(B647=0,0,C647/B647)</f>
        <v>0</v>
      </c>
      <c r="F647" s="36">
        <f t="shared" si="562"/>
        <v>0</v>
      </c>
    </row>
    <row r="648" ht="15.75" customHeight="1">
      <c r="A648" s="35" t="s">
        <v>3</v>
      </c>
      <c r="B648" s="17">
        <f>SUM('Daily Input'!I308:I314)</f>
        <v>0</v>
      </c>
      <c r="C648" s="17">
        <f>SUM('Daily Input'!J308:J314)</f>
        <v>0</v>
      </c>
      <c r="D648" s="17">
        <f>SUM('Daily Input'!K308:K314)</f>
        <v>0</v>
      </c>
      <c r="E648" s="36">
        <f t="shared" ref="E648:F648" si="563">IF(B648=0,0,C648/B648)</f>
        <v>0</v>
      </c>
      <c r="F648" s="36">
        <f t="shared" si="563"/>
        <v>0</v>
      </c>
    </row>
    <row r="649" ht="15.75" customHeight="1">
      <c r="A649" s="35" t="s">
        <v>4</v>
      </c>
      <c r="B649" s="17">
        <f>SUM('Daily Input'!L308:L314)</f>
        <v>0</v>
      </c>
      <c r="C649" s="17">
        <f>SUM('Daily Input'!M308:M314)</f>
        <v>0</v>
      </c>
      <c r="D649" s="17">
        <f>SUM('Daily Input'!N308:N314)</f>
        <v>0</v>
      </c>
      <c r="E649" s="36">
        <f t="shared" ref="E649:F649" si="564">IF(B649=0,0,C649/B649)</f>
        <v>0</v>
      </c>
      <c r="F649" s="36">
        <f t="shared" si="564"/>
        <v>0</v>
      </c>
    </row>
    <row r="650" ht="15.75" customHeight="1">
      <c r="A650" s="35" t="s">
        <v>5</v>
      </c>
      <c r="B650" s="17">
        <f>SUM('Daily Input'!O308:O314)</f>
        <v>0</v>
      </c>
      <c r="C650" s="17">
        <f>SUM('Daily Input'!P308:P314)</f>
        <v>0</v>
      </c>
      <c r="D650" s="17">
        <f>SUM('Daily Input'!Q308:Q314)</f>
        <v>0</v>
      </c>
      <c r="E650" s="36">
        <f t="shared" ref="E650:F650" si="565">IF(B650=0,0,C650/B650)</f>
        <v>0</v>
      </c>
      <c r="F650" s="36">
        <f t="shared" si="565"/>
        <v>0</v>
      </c>
    </row>
    <row r="651" ht="15.75" customHeight="1">
      <c r="A651" s="35" t="s">
        <v>6</v>
      </c>
      <c r="B651" s="17">
        <f>SUM('Daily Input'!R308:R314)</f>
        <v>0</v>
      </c>
      <c r="C651" s="17">
        <f>SUM('Daily Input'!S308:S314)</f>
        <v>0</v>
      </c>
      <c r="D651" s="17">
        <f>SUM('Daily Input'!T308:T314)</f>
        <v>0</v>
      </c>
      <c r="E651" s="36">
        <f t="shared" ref="E651:F651" si="566">IF(B651=0,0,C651/B651)</f>
        <v>0</v>
      </c>
      <c r="F651" s="36">
        <f t="shared" si="566"/>
        <v>0</v>
      </c>
    </row>
    <row r="652" ht="15.75" customHeight="1">
      <c r="A652" s="35" t="s">
        <v>7</v>
      </c>
      <c r="B652" s="17">
        <f>SUM('Daily Input'!U308:U314)</f>
        <v>0</v>
      </c>
      <c r="C652" s="17">
        <f>SUM('Daily Input'!V308:V314)</f>
        <v>0</v>
      </c>
      <c r="D652" s="17">
        <f>SUM('Daily Input'!W308:W314)</f>
        <v>0</v>
      </c>
      <c r="E652" s="36">
        <f t="shared" ref="E652:F652" si="567">IF(B652=0,0,C652/B652)</f>
        <v>0</v>
      </c>
      <c r="F652" s="36">
        <f t="shared" si="567"/>
        <v>0</v>
      </c>
    </row>
    <row r="653" ht="15.75" customHeight="1">
      <c r="A653" s="35" t="s">
        <v>8</v>
      </c>
      <c r="B653" s="17">
        <f>SUM('Daily Input'!X308:X314)</f>
        <v>0</v>
      </c>
      <c r="C653" s="17">
        <f>SUM('Daily Input'!Y308:Y314)</f>
        <v>0</v>
      </c>
      <c r="D653" s="17">
        <f>SUM('Daily Input'!Z308:Z314)</f>
        <v>0</v>
      </c>
      <c r="E653" s="36">
        <f t="shared" ref="E653:F653" si="568">IF(B653=0,0,C653/B653)</f>
        <v>0</v>
      </c>
      <c r="F653" s="36">
        <f t="shared" si="568"/>
        <v>0</v>
      </c>
    </row>
    <row r="654" ht="15.75" customHeight="1">
      <c r="A654" s="35" t="s">
        <v>9</v>
      </c>
      <c r="B654" s="17">
        <f>SUM('Daily Input'!AA308:AA314)</f>
        <v>0</v>
      </c>
      <c r="C654" s="17">
        <f>SUM('Daily Input'!AB308:AB314)</f>
        <v>0</v>
      </c>
      <c r="D654" s="17">
        <f>SUM('Daily Input'!AC308:AC314)</f>
        <v>0</v>
      </c>
      <c r="E654" s="36">
        <f t="shared" ref="E654:F654" si="569">IF(B654=0,0,C654/B654)</f>
        <v>0</v>
      </c>
      <c r="F654" s="36">
        <f t="shared" si="569"/>
        <v>0</v>
      </c>
    </row>
    <row r="655" ht="15.75" customHeight="1">
      <c r="A655" s="35" t="s">
        <v>10</v>
      </c>
      <c r="B655" s="17">
        <f>SUM('Daily Input'!AD308:AD314)</f>
        <v>0</v>
      </c>
      <c r="C655" s="17">
        <f>SUM('Daily Input'!AE308:AE314)</f>
        <v>0</v>
      </c>
      <c r="D655" s="17">
        <f>SUM('Daily Input'!AF308:AF314)</f>
        <v>0</v>
      </c>
      <c r="E655" s="36">
        <f t="shared" ref="E655:F655" si="570">IF(B655=0,0,C655/B655)</f>
        <v>0</v>
      </c>
      <c r="F655" s="36">
        <f t="shared" si="570"/>
        <v>0</v>
      </c>
    </row>
    <row r="656" ht="15.75" customHeight="1">
      <c r="A656" s="35" t="s">
        <v>11</v>
      </c>
      <c r="B656" s="17">
        <f>SUM('Daily Input'!AG308:AG314)</f>
        <v>0</v>
      </c>
      <c r="C656" s="17">
        <f>SUM('Daily Input'!AH308:AH314)</f>
        <v>0</v>
      </c>
      <c r="D656" s="17">
        <f>SUM('Daily Input'!AI308:AI314)</f>
        <v>0</v>
      </c>
      <c r="E656" s="36">
        <f t="shared" ref="E656:F656" si="571">IF(B656=0,0,C656/B656)</f>
        <v>0</v>
      </c>
      <c r="F656" s="36">
        <f t="shared" si="571"/>
        <v>0</v>
      </c>
    </row>
    <row r="657" ht="15.75" customHeight="1">
      <c r="A657" s="35" t="s">
        <v>12</v>
      </c>
      <c r="B657" s="17">
        <f>SUM('Daily Input'!AJ308:AJ314)</f>
        <v>0</v>
      </c>
      <c r="C657" s="17">
        <f>SUM('Daily Input'!AK308:AK314)</f>
        <v>0</v>
      </c>
      <c r="D657" s="17">
        <f>SUM('Daily Input'!AL308:AL314)</f>
        <v>0</v>
      </c>
      <c r="E657" s="36">
        <f t="shared" ref="E657:F657" si="572">IF(B657=0,0,C657/B657)</f>
        <v>0</v>
      </c>
      <c r="F657" s="36">
        <f t="shared" si="572"/>
        <v>0</v>
      </c>
    </row>
    <row r="658" ht="15.75" customHeight="1">
      <c r="A658" s="37" t="s">
        <v>59</v>
      </c>
      <c r="B658" s="29">
        <f t="shared" ref="B658:D658" si="573">SUM(B646:B657)</f>
        <v>0</v>
      </c>
      <c r="C658" s="29">
        <f t="shared" si="573"/>
        <v>0</v>
      </c>
      <c r="D658" s="29">
        <f t="shared" si="573"/>
        <v>0</v>
      </c>
      <c r="E658" s="30">
        <f t="shared" ref="E658:F658" si="574">IF(B658=0,0,C658/B658)</f>
        <v>0</v>
      </c>
      <c r="F658" s="30">
        <f t="shared" si="574"/>
        <v>0</v>
      </c>
    </row>
    <row r="659" ht="15.75" customHeight="1"/>
    <row r="660" ht="15.75" customHeight="1">
      <c r="A660" s="33" t="s">
        <v>100</v>
      </c>
      <c r="B660" s="4"/>
      <c r="C660" s="4"/>
      <c r="D660" s="4"/>
      <c r="E660" s="4"/>
      <c r="F660" s="4"/>
      <c r="G660" s="4"/>
      <c r="H660" s="5"/>
    </row>
    <row r="661" ht="15.75" customHeight="1">
      <c r="A661" s="34" t="s">
        <v>55</v>
      </c>
      <c r="B661" s="34" t="s">
        <v>16</v>
      </c>
      <c r="C661" s="34" t="s">
        <v>17</v>
      </c>
      <c r="D661" s="34" t="s">
        <v>56</v>
      </c>
      <c r="E661" s="34" t="s">
        <v>57</v>
      </c>
      <c r="F661" s="34" t="s">
        <v>58</v>
      </c>
    </row>
    <row r="662" ht="15.75" customHeight="1">
      <c r="A662" s="35" t="s">
        <v>1</v>
      </c>
      <c r="B662" s="17">
        <f>SUM('Daily Input'!C315:C321)</f>
        <v>0</v>
      </c>
      <c r="C662" s="17">
        <f>SUM('Daily Input'!D315:D321)</f>
        <v>0</v>
      </c>
      <c r="D662" s="17">
        <f>SUM('Daily Input'!E315:E321)</f>
        <v>0</v>
      </c>
      <c r="E662" s="36">
        <f t="shared" ref="E662:F662" si="575">IF(B662=0,0,C662/B662)</f>
        <v>0</v>
      </c>
      <c r="F662" s="36">
        <f t="shared" si="575"/>
        <v>0</v>
      </c>
    </row>
    <row r="663" ht="15.75" customHeight="1">
      <c r="A663" s="35" t="s">
        <v>2</v>
      </c>
      <c r="B663" s="17">
        <f>SUM('Daily Input'!F315:F321)</f>
        <v>0</v>
      </c>
      <c r="C663" s="17">
        <f>SUM('Daily Input'!G315:G321)</f>
        <v>0</v>
      </c>
      <c r="D663" s="17">
        <f>SUM('Daily Input'!H315:H321)</f>
        <v>0</v>
      </c>
      <c r="E663" s="36">
        <f t="shared" ref="E663:F663" si="576">IF(B663=0,0,C663/B663)</f>
        <v>0</v>
      </c>
      <c r="F663" s="36">
        <f t="shared" si="576"/>
        <v>0</v>
      </c>
    </row>
    <row r="664" ht="15.75" customHeight="1">
      <c r="A664" s="35" t="s">
        <v>3</v>
      </c>
      <c r="B664" s="17">
        <f>SUM('Daily Input'!I315:I321)</f>
        <v>0</v>
      </c>
      <c r="C664" s="17">
        <f>SUM('Daily Input'!J315:J321)</f>
        <v>0</v>
      </c>
      <c r="D664" s="17">
        <f>SUM('Daily Input'!K315:K321)</f>
        <v>0</v>
      </c>
      <c r="E664" s="36">
        <f t="shared" ref="E664:F664" si="577">IF(B664=0,0,C664/B664)</f>
        <v>0</v>
      </c>
      <c r="F664" s="36">
        <f t="shared" si="577"/>
        <v>0</v>
      </c>
    </row>
    <row r="665" ht="15.75" customHeight="1">
      <c r="A665" s="35" t="s">
        <v>4</v>
      </c>
      <c r="B665" s="17">
        <f>SUM('Daily Input'!L315:L321)</f>
        <v>0</v>
      </c>
      <c r="C665" s="17">
        <f>SUM('Daily Input'!M315:M321)</f>
        <v>0</v>
      </c>
      <c r="D665" s="17">
        <f>SUM('Daily Input'!N315:N321)</f>
        <v>0</v>
      </c>
      <c r="E665" s="36">
        <f t="shared" ref="E665:F665" si="578">IF(B665=0,0,C665/B665)</f>
        <v>0</v>
      </c>
      <c r="F665" s="36">
        <f t="shared" si="578"/>
        <v>0</v>
      </c>
    </row>
    <row r="666" ht="15.75" customHeight="1">
      <c r="A666" s="35" t="s">
        <v>5</v>
      </c>
      <c r="B666" s="17">
        <f>SUM('Daily Input'!O315:O321)</f>
        <v>0</v>
      </c>
      <c r="C666" s="17">
        <f>SUM('Daily Input'!P315:P321)</f>
        <v>0</v>
      </c>
      <c r="D666" s="17">
        <f>SUM('Daily Input'!Q315:Q321)</f>
        <v>0</v>
      </c>
      <c r="E666" s="36">
        <f t="shared" ref="E666:F666" si="579">IF(B666=0,0,C666/B666)</f>
        <v>0</v>
      </c>
      <c r="F666" s="36">
        <f t="shared" si="579"/>
        <v>0</v>
      </c>
    </row>
    <row r="667" ht="15.75" customHeight="1">
      <c r="A667" s="35" t="s">
        <v>6</v>
      </c>
      <c r="B667" s="17">
        <f>SUM('Daily Input'!R315:R321)</f>
        <v>0</v>
      </c>
      <c r="C667" s="17">
        <f>SUM('Daily Input'!S315:S321)</f>
        <v>0</v>
      </c>
      <c r="D667" s="17">
        <f>SUM('Daily Input'!T315:T321)</f>
        <v>0</v>
      </c>
      <c r="E667" s="36">
        <f t="shared" ref="E667:F667" si="580">IF(B667=0,0,C667/B667)</f>
        <v>0</v>
      </c>
      <c r="F667" s="36">
        <f t="shared" si="580"/>
        <v>0</v>
      </c>
    </row>
    <row r="668" ht="15.75" customHeight="1">
      <c r="A668" s="35" t="s">
        <v>7</v>
      </c>
      <c r="B668" s="17">
        <f>SUM('Daily Input'!U315:U321)</f>
        <v>0</v>
      </c>
      <c r="C668" s="17">
        <f>SUM('Daily Input'!V315:V321)</f>
        <v>0</v>
      </c>
      <c r="D668" s="17">
        <f>SUM('Daily Input'!W315:W321)</f>
        <v>0</v>
      </c>
      <c r="E668" s="36">
        <f t="shared" ref="E668:F668" si="581">IF(B668=0,0,C668/B668)</f>
        <v>0</v>
      </c>
      <c r="F668" s="36">
        <f t="shared" si="581"/>
        <v>0</v>
      </c>
    </row>
    <row r="669" ht="15.75" customHeight="1">
      <c r="A669" s="35" t="s">
        <v>8</v>
      </c>
      <c r="B669" s="17">
        <f>SUM('Daily Input'!X315:X321)</f>
        <v>0</v>
      </c>
      <c r="C669" s="17">
        <f>SUM('Daily Input'!Y315:Y321)</f>
        <v>0</v>
      </c>
      <c r="D669" s="17">
        <f>SUM('Daily Input'!Z315:Z321)</f>
        <v>0</v>
      </c>
      <c r="E669" s="36">
        <f t="shared" ref="E669:F669" si="582">IF(B669=0,0,C669/B669)</f>
        <v>0</v>
      </c>
      <c r="F669" s="36">
        <f t="shared" si="582"/>
        <v>0</v>
      </c>
    </row>
    <row r="670" ht="15.75" customHeight="1">
      <c r="A670" s="35" t="s">
        <v>9</v>
      </c>
      <c r="B670" s="17">
        <f>SUM('Daily Input'!AA315:AA321)</f>
        <v>0</v>
      </c>
      <c r="C670" s="17">
        <f>SUM('Daily Input'!AB315:AB321)</f>
        <v>0</v>
      </c>
      <c r="D670" s="17">
        <f>SUM('Daily Input'!AC315:AC321)</f>
        <v>0</v>
      </c>
      <c r="E670" s="36">
        <f t="shared" ref="E670:F670" si="583">IF(B670=0,0,C670/B670)</f>
        <v>0</v>
      </c>
      <c r="F670" s="36">
        <f t="shared" si="583"/>
        <v>0</v>
      </c>
    </row>
    <row r="671" ht="15.75" customHeight="1">
      <c r="A671" s="35" t="s">
        <v>10</v>
      </c>
      <c r="B671" s="17">
        <f>SUM('Daily Input'!AD315:AD321)</f>
        <v>0</v>
      </c>
      <c r="C671" s="17">
        <f>SUM('Daily Input'!AE315:AE321)</f>
        <v>0</v>
      </c>
      <c r="D671" s="17">
        <f>SUM('Daily Input'!AF315:AF321)</f>
        <v>0</v>
      </c>
      <c r="E671" s="36">
        <f t="shared" ref="E671:F671" si="584">IF(B671=0,0,C671/B671)</f>
        <v>0</v>
      </c>
      <c r="F671" s="36">
        <f t="shared" si="584"/>
        <v>0</v>
      </c>
    </row>
    <row r="672" ht="15.75" customHeight="1">
      <c r="A672" s="35" t="s">
        <v>11</v>
      </c>
      <c r="B672" s="17">
        <f>SUM('Daily Input'!AG315:AG321)</f>
        <v>0</v>
      </c>
      <c r="C672" s="17">
        <f>SUM('Daily Input'!AH315:AH321)</f>
        <v>0</v>
      </c>
      <c r="D672" s="17">
        <f>SUM('Daily Input'!AI315:AI321)</f>
        <v>0</v>
      </c>
      <c r="E672" s="36">
        <f t="shared" ref="E672:F672" si="585">IF(B672=0,0,C672/B672)</f>
        <v>0</v>
      </c>
      <c r="F672" s="36">
        <f t="shared" si="585"/>
        <v>0</v>
      </c>
    </row>
    <row r="673" ht="15.75" customHeight="1">
      <c r="A673" s="35" t="s">
        <v>12</v>
      </c>
      <c r="B673" s="17">
        <f>SUM('Daily Input'!AJ315:AJ321)</f>
        <v>0</v>
      </c>
      <c r="C673" s="17">
        <f>SUM('Daily Input'!AK315:AK321)</f>
        <v>0</v>
      </c>
      <c r="D673" s="17">
        <f>SUM('Daily Input'!AL315:AL321)</f>
        <v>0</v>
      </c>
      <c r="E673" s="36">
        <f t="shared" ref="E673:F673" si="586">IF(B673=0,0,C673/B673)</f>
        <v>0</v>
      </c>
      <c r="F673" s="36">
        <f t="shared" si="586"/>
        <v>0</v>
      </c>
    </row>
    <row r="674" ht="15.75" customHeight="1">
      <c r="A674" s="37" t="s">
        <v>59</v>
      </c>
      <c r="B674" s="29">
        <f t="shared" ref="B674:D674" si="587">SUM(B662:B673)</f>
        <v>0</v>
      </c>
      <c r="C674" s="29">
        <f t="shared" si="587"/>
        <v>0</v>
      </c>
      <c r="D674" s="29">
        <f t="shared" si="587"/>
        <v>0</v>
      </c>
      <c r="E674" s="30">
        <f t="shared" ref="E674:F674" si="588">IF(B674=0,0,C674/B674)</f>
        <v>0</v>
      </c>
      <c r="F674" s="30">
        <f t="shared" si="588"/>
        <v>0</v>
      </c>
    </row>
    <row r="675" ht="15.75" customHeight="1"/>
    <row r="676" ht="15.75" customHeight="1">
      <c r="A676" s="33" t="s">
        <v>101</v>
      </c>
      <c r="B676" s="4"/>
      <c r="C676" s="4"/>
      <c r="D676" s="4"/>
      <c r="E676" s="4"/>
      <c r="F676" s="4"/>
      <c r="G676" s="4"/>
      <c r="H676" s="5"/>
    </row>
    <row r="677" ht="15.75" customHeight="1">
      <c r="A677" s="34" t="s">
        <v>55</v>
      </c>
      <c r="B677" s="34" t="s">
        <v>16</v>
      </c>
      <c r="C677" s="34" t="s">
        <v>17</v>
      </c>
      <c r="D677" s="34" t="s">
        <v>56</v>
      </c>
      <c r="E677" s="34" t="s">
        <v>57</v>
      </c>
      <c r="F677" s="34" t="s">
        <v>58</v>
      </c>
    </row>
    <row r="678" ht="15.75" customHeight="1">
      <c r="A678" s="35" t="s">
        <v>1</v>
      </c>
      <c r="B678" s="17">
        <f>SUM('Daily Input'!C322:C328)</f>
        <v>0</v>
      </c>
      <c r="C678" s="17">
        <f>SUM('Daily Input'!D322:D328)</f>
        <v>0</v>
      </c>
      <c r="D678" s="17">
        <f>SUM('Daily Input'!E322:E328)</f>
        <v>0</v>
      </c>
      <c r="E678" s="36">
        <f t="shared" ref="E678:F678" si="589">IF(B678=0,0,C678/B678)</f>
        <v>0</v>
      </c>
      <c r="F678" s="36">
        <f t="shared" si="589"/>
        <v>0</v>
      </c>
    </row>
    <row r="679" ht="15.75" customHeight="1">
      <c r="A679" s="35" t="s">
        <v>2</v>
      </c>
      <c r="B679" s="17">
        <f>SUM('Daily Input'!F322:F328)</f>
        <v>0</v>
      </c>
      <c r="C679" s="17">
        <f>SUM('Daily Input'!G322:G328)</f>
        <v>0</v>
      </c>
      <c r="D679" s="17">
        <f>SUM('Daily Input'!H322:H328)</f>
        <v>0</v>
      </c>
      <c r="E679" s="36">
        <f t="shared" ref="E679:F679" si="590">IF(B679=0,0,C679/B679)</f>
        <v>0</v>
      </c>
      <c r="F679" s="36">
        <f t="shared" si="590"/>
        <v>0</v>
      </c>
    </row>
    <row r="680" ht="15.75" customHeight="1">
      <c r="A680" s="35" t="s">
        <v>3</v>
      </c>
      <c r="B680" s="17">
        <f>SUM('Daily Input'!I322:I328)</f>
        <v>0</v>
      </c>
      <c r="C680" s="17">
        <f>SUM('Daily Input'!J322:J328)</f>
        <v>0</v>
      </c>
      <c r="D680" s="17">
        <f>SUM('Daily Input'!K322:K328)</f>
        <v>0</v>
      </c>
      <c r="E680" s="36">
        <f t="shared" ref="E680:F680" si="591">IF(B680=0,0,C680/B680)</f>
        <v>0</v>
      </c>
      <c r="F680" s="36">
        <f t="shared" si="591"/>
        <v>0</v>
      </c>
    </row>
    <row r="681" ht="15.75" customHeight="1">
      <c r="A681" s="35" t="s">
        <v>4</v>
      </c>
      <c r="B681" s="17">
        <f>SUM('Daily Input'!L322:L328)</f>
        <v>0</v>
      </c>
      <c r="C681" s="17">
        <f>SUM('Daily Input'!M322:M328)</f>
        <v>0</v>
      </c>
      <c r="D681" s="17">
        <f>SUM('Daily Input'!N322:N328)</f>
        <v>0</v>
      </c>
      <c r="E681" s="36">
        <f t="shared" ref="E681:F681" si="592">IF(B681=0,0,C681/B681)</f>
        <v>0</v>
      </c>
      <c r="F681" s="36">
        <f t="shared" si="592"/>
        <v>0</v>
      </c>
    </row>
    <row r="682" ht="15.75" customHeight="1">
      <c r="A682" s="35" t="s">
        <v>5</v>
      </c>
      <c r="B682" s="17">
        <f>SUM('Daily Input'!O322:O328)</f>
        <v>0</v>
      </c>
      <c r="C682" s="17">
        <f>SUM('Daily Input'!P322:P328)</f>
        <v>0</v>
      </c>
      <c r="D682" s="17">
        <f>SUM('Daily Input'!Q322:Q328)</f>
        <v>0</v>
      </c>
      <c r="E682" s="36">
        <f t="shared" ref="E682:F682" si="593">IF(B682=0,0,C682/B682)</f>
        <v>0</v>
      </c>
      <c r="F682" s="36">
        <f t="shared" si="593"/>
        <v>0</v>
      </c>
    </row>
    <row r="683" ht="15.75" customHeight="1">
      <c r="A683" s="35" t="s">
        <v>6</v>
      </c>
      <c r="B683" s="17">
        <f>SUM('Daily Input'!R322:R328)</f>
        <v>0</v>
      </c>
      <c r="C683" s="17">
        <f>SUM('Daily Input'!S322:S328)</f>
        <v>0</v>
      </c>
      <c r="D683" s="17">
        <f>SUM('Daily Input'!T322:T328)</f>
        <v>0</v>
      </c>
      <c r="E683" s="36">
        <f t="shared" ref="E683:F683" si="594">IF(B683=0,0,C683/B683)</f>
        <v>0</v>
      </c>
      <c r="F683" s="36">
        <f t="shared" si="594"/>
        <v>0</v>
      </c>
    </row>
    <row r="684" ht="15.75" customHeight="1">
      <c r="A684" s="35" t="s">
        <v>7</v>
      </c>
      <c r="B684" s="17">
        <f>SUM('Daily Input'!U322:U328)</f>
        <v>0</v>
      </c>
      <c r="C684" s="17">
        <f>SUM('Daily Input'!V322:V328)</f>
        <v>0</v>
      </c>
      <c r="D684" s="17">
        <f>SUM('Daily Input'!W322:W328)</f>
        <v>0</v>
      </c>
      <c r="E684" s="36">
        <f t="shared" ref="E684:F684" si="595">IF(B684=0,0,C684/B684)</f>
        <v>0</v>
      </c>
      <c r="F684" s="36">
        <f t="shared" si="595"/>
        <v>0</v>
      </c>
    </row>
    <row r="685" ht="15.75" customHeight="1">
      <c r="A685" s="35" t="s">
        <v>8</v>
      </c>
      <c r="B685" s="17">
        <f>SUM('Daily Input'!X322:X328)</f>
        <v>0</v>
      </c>
      <c r="C685" s="17">
        <f>SUM('Daily Input'!Y322:Y328)</f>
        <v>0</v>
      </c>
      <c r="D685" s="17">
        <f>SUM('Daily Input'!Z322:Z328)</f>
        <v>0</v>
      </c>
      <c r="E685" s="36">
        <f t="shared" ref="E685:F685" si="596">IF(B685=0,0,C685/B685)</f>
        <v>0</v>
      </c>
      <c r="F685" s="36">
        <f t="shared" si="596"/>
        <v>0</v>
      </c>
    </row>
    <row r="686" ht="15.75" customHeight="1">
      <c r="A686" s="35" t="s">
        <v>9</v>
      </c>
      <c r="B686" s="17">
        <f>SUM('Daily Input'!AA322:AA328)</f>
        <v>0</v>
      </c>
      <c r="C686" s="17">
        <f>SUM('Daily Input'!AB322:AB328)</f>
        <v>0</v>
      </c>
      <c r="D686" s="17">
        <f>SUM('Daily Input'!AC322:AC328)</f>
        <v>0</v>
      </c>
      <c r="E686" s="36">
        <f t="shared" ref="E686:F686" si="597">IF(B686=0,0,C686/B686)</f>
        <v>0</v>
      </c>
      <c r="F686" s="36">
        <f t="shared" si="597"/>
        <v>0</v>
      </c>
    </row>
    <row r="687" ht="15.75" customHeight="1">
      <c r="A687" s="35" t="s">
        <v>10</v>
      </c>
      <c r="B687" s="17">
        <f>SUM('Daily Input'!AD322:AD328)</f>
        <v>0</v>
      </c>
      <c r="C687" s="17">
        <f>SUM('Daily Input'!AE322:AE328)</f>
        <v>0</v>
      </c>
      <c r="D687" s="17">
        <f>SUM('Daily Input'!AF322:AF328)</f>
        <v>0</v>
      </c>
      <c r="E687" s="36">
        <f t="shared" ref="E687:F687" si="598">IF(B687=0,0,C687/B687)</f>
        <v>0</v>
      </c>
      <c r="F687" s="36">
        <f t="shared" si="598"/>
        <v>0</v>
      </c>
    </row>
    <row r="688" ht="15.75" customHeight="1">
      <c r="A688" s="35" t="s">
        <v>11</v>
      </c>
      <c r="B688" s="17">
        <f>SUM('Daily Input'!AG322:AG328)</f>
        <v>0</v>
      </c>
      <c r="C688" s="17">
        <f>SUM('Daily Input'!AH322:AH328)</f>
        <v>0</v>
      </c>
      <c r="D688" s="17">
        <f>SUM('Daily Input'!AI322:AI328)</f>
        <v>0</v>
      </c>
      <c r="E688" s="36">
        <f t="shared" ref="E688:F688" si="599">IF(B688=0,0,C688/B688)</f>
        <v>0</v>
      </c>
      <c r="F688" s="36">
        <f t="shared" si="599"/>
        <v>0</v>
      </c>
    </row>
    <row r="689" ht="15.75" customHeight="1">
      <c r="A689" s="35" t="s">
        <v>12</v>
      </c>
      <c r="B689" s="17">
        <f>SUM('Daily Input'!AJ322:AJ328)</f>
        <v>0</v>
      </c>
      <c r="C689" s="17">
        <f>SUM('Daily Input'!AK322:AK328)</f>
        <v>0</v>
      </c>
      <c r="D689" s="17">
        <f>SUM('Daily Input'!AL322:AL328)</f>
        <v>0</v>
      </c>
      <c r="E689" s="36">
        <f t="shared" ref="E689:F689" si="600">IF(B689=0,0,C689/B689)</f>
        <v>0</v>
      </c>
      <c r="F689" s="36">
        <f t="shared" si="600"/>
        <v>0</v>
      </c>
    </row>
    <row r="690" ht="15.75" customHeight="1">
      <c r="A690" s="37" t="s">
        <v>59</v>
      </c>
      <c r="B690" s="29">
        <f t="shared" ref="B690:D690" si="601">SUM(B678:B689)</f>
        <v>0</v>
      </c>
      <c r="C690" s="29">
        <f t="shared" si="601"/>
        <v>0</v>
      </c>
      <c r="D690" s="29">
        <f t="shared" si="601"/>
        <v>0</v>
      </c>
      <c r="E690" s="30">
        <f t="shared" ref="E690:F690" si="602">IF(B690=0,0,C690/B690)</f>
        <v>0</v>
      </c>
      <c r="F690" s="30">
        <f t="shared" si="602"/>
        <v>0</v>
      </c>
    </row>
    <row r="691" ht="15.75" customHeight="1"/>
    <row r="692" ht="15.75" customHeight="1">
      <c r="A692" s="33" t="s">
        <v>102</v>
      </c>
      <c r="B692" s="4"/>
      <c r="C692" s="4"/>
      <c r="D692" s="4"/>
      <c r="E692" s="4"/>
      <c r="F692" s="4"/>
      <c r="G692" s="4"/>
      <c r="H692" s="5"/>
    </row>
    <row r="693" ht="15.75" customHeight="1">
      <c r="A693" s="34" t="s">
        <v>55</v>
      </c>
      <c r="B693" s="34" t="s">
        <v>16</v>
      </c>
      <c r="C693" s="34" t="s">
        <v>17</v>
      </c>
      <c r="D693" s="34" t="s">
        <v>56</v>
      </c>
      <c r="E693" s="34" t="s">
        <v>57</v>
      </c>
      <c r="F693" s="34" t="s">
        <v>58</v>
      </c>
    </row>
    <row r="694" ht="15.75" customHeight="1">
      <c r="A694" s="35" t="s">
        <v>1</v>
      </c>
      <c r="B694" s="17">
        <f>SUM('Daily Input'!C329:C338)</f>
        <v>0</v>
      </c>
      <c r="C694" s="17">
        <f>SUM('Daily Input'!D329:D338)</f>
        <v>0</v>
      </c>
      <c r="D694" s="17">
        <f>SUM('Daily Input'!E329:E338)</f>
        <v>0</v>
      </c>
      <c r="E694" s="36">
        <f t="shared" ref="E694:F694" si="603">IF(B694=0,0,C694/B694)</f>
        <v>0</v>
      </c>
      <c r="F694" s="36">
        <f t="shared" si="603"/>
        <v>0</v>
      </c>
    </row>
    <row r="695" ht="15.75" customHeight="1">
      <c r="A695" s="35" t="s">
        <v>2</v>
      </c>
      <c r="B695" s="17">
        <f>SUM('Daily Input'!F329:F338)</f>
        <v>0</v>
      </c>
      <c r="C695" s="17">
        <f>SUM('Daily Input'!G329:G338)</f>
        <v>0</v>
      </c>
      <c r="D695" s="17">
        <f>SUM('Daily Input'!H329:H338)</f>
        <v>0</v>
      </c>
      <c r="E695" s="36">
        <f t="shared" ref="E695:F695" si="604">IF(B695=0,0,C695/B695)</f>
        <v>0</v>
      </c>
      <c r="F695" s="36">
        <f t="shared" si="604"/>
        <v>0</v>
      </c>
    </row>
    <row r="696" ht="15.75" customHeight="1">
      <c r="A696" s="35" t="s">
        <v>3</v>
      </c>
      <c r="B696" s="17">
        <f>SUM('Daily Input'!I329:I338)</f>
        <v>0</v>
      </c>
      <c r="C696" s="17">
        <f>SUM('Daily Input'!J329:J338)</f>
        <v>0</v>
      </c>
      <c r="D696" s="17">
        <f>SUM('Daily Input'!K329:K338)</f>
        <v>0</v>
      </c>
      <c r="E696" s="36">
        <f t="shared" ref="E696:F696" si="605">IF(B696=0,0,C696/B696)</f>
        <v>0</v>
      </c>
      <c r="F696" s="36">
        <f t="shared" si="605"/>
        <v>0</v>
      </c>
    </row>
    <row r="697" ht="15.75" customHeight="1">
      <c r="A697" s="35" t="s">
        <v>4</v>
      </c>
      <c r="B697" s="17">
        <f>SUM('Daily Input'!L329:L338)</f>
        <v>0</v>
      </c>
      <c r="C697" s="17">
        <f>SUM('Daily Input'!M329:M338)</f>
        <v>0</v>
      </c>
      <c r="D697" s="17">
        <f>SUM('Daily Input'!N329:N338)</f>
        <v>0</v>
      </c>
      <c r="E697" s="36">
        <f t="shared" ref="E697:F697" si="606">IF(B697=0,0,C697/B697)</f>
        <v>0</v>
      </c>
      <c r="F697" s="36">
        <f t="shared" si="606"/>
        <v>0</v>
      </c>
    </row>
    <row r="698" ht="15.75" customHeight="1">
      <c r="A698" s="35" t="s">
        <v>5</v>
      </c>
      <c r="B698" s="17">
        <f>SUM('Daily Input'!O329:O338)</f>
        <v>0</v>
      </c>
      <c r="C698" s="17">
        <f>SUM('Daily Input'!P329:P338)</f>
        <v>0</v>
      </c>
      <c r="D698" s="17">
        <f>SUM('Daily Input'!Q329:Q338)</f>
        <v>0</v>
      </c>
      <c r="E698" s="36">
        <f t="shared" ref="E698:F698" si="607">IF(B698=0,0,C698/B698)</f>
        <v>0</v>
      </c>
      <c r="F698" s="36">
        <f t="shared" si="607"/>
        <v>0</v>
      </c>
    </row>
    <row r="699" ht="15.75" customHeight="1">
      <c r="A699" s="35" t="s">
        <v>6</v>
      </c>
      <c r="B699" s="17">
        <f>SUM('Daily Input'!R329:R338)</f>
        <v>0</v>
      </c>
      <c r="C699" s="17">
        <f>SUM('Daily Input'!S329:S338)</f>
        <v>0</v>
      </c>
      <c r="D699" s="17">
        <f>SUM('Daily Input'!T329:T338)</f>
        <v>0</v>
      </c>
      <c r="E699" s="36">
        <f t="shared" ref="E699:F699" si="608">IF(B699=0,0,C699/B699)</f>
        <v>0</v>
      </c>
      <c r="F699" s="36">
        <f t="shared" si="608"/>
        <v>0</v>
      </c>
    </row>
    <row r="700" ht="15.75" customHeight="1">
      <c r="A700" s="35" t="s">
        <v>7</v>
      </c>
      <c r="B700" s="17">
        <f>SUM('Daily Input'!U329:U338)</f>
        <v>0</v>
      </c>
      <c r="C700" s="17">
        <f>SUM('Daily Input'!V329:V338)</f>
        <v>0</v>
      </c>
      <c r="D700" s="17">
        <f>SUM('Daily Input'!W329:W338)</f>
        <v>0</v>
      </c>
      <c r="E700" s="36">
        <f t="shared" ref="E700:F700" si="609">IF(B700=0,0,C700/B700)</f>
        <v>0</v>
      </c>
      <c r="F700" s="36">
        <f t="shared" si="609"/>
        <v>0</v>
      </c>
    </row>
    <row r="701" ht="15.75" customHeight="1">
      <c r="A701" s="35" t="s">
        <v>8</v>
      </c>
      <c r="B701" s="17">
        <f>SUM('Daily Input'!X329:X338)</f>
        <v>0</v>
      </c>
      <c r="C701" s="17">
        <f>SUM('Daily Input'!Y329:Y338)</f>
        <v>0</v>
      </c>
      <c r="D701" s="17">
        <f>SUM('Daily Input'!Z329:Z338)</f>
        <v>0</v>
      </c>
      <c r="E701" s="36">
        <f t="shared" ref="E701:F701" si="610">IF(B701=0,0,C701/B701)</f>
        <v>0</v>
      </c>
      <c r="F701" s="36">
        <f t="shared" si="610"/>
        <v>0</v>
      </c>
    </row>
    <row r="702" ht="15.75" customHeight="1">
      <c r="A702" s="35" t="s">
        <v>9</v>
      </c>
      <c r="B702" s="17">
        <f>SUM('Daily Input'!AA329:AA338)</f>
        <v>0</v>
      </c>
      <c r="C702" s="17">
        <f>SUM('Daily Input'!AB329:AB338)</f>
        <v>0</v>
      </c>
      <c r="D702" s="17">
        <f>SUM('Daily Input'!AC329:AC338)</f>
        <v>0</v>
      </c>
      <c r="E702" s="36">
        <f t="shared" ref="E702:F702" si="611">IF(B702=0,0,C702/B702)</f>
        <v>0</v>
      </c>
      <c r="F702" s="36">
        <f t="shared" si="611"/>
        <v>0</v>
      </c>
    </row>
    <row r="703" ht="15.75" customHeight="1">
      <c r="A703" s="35" t="s">
        <v>10</v>
      </c>
      <c r="B703" s="17">
        <f>SUM('Daily Input'!AD329:AD338)</f>
        <v>0</v>
      </c>
      <c r="C703" s="17">
        <f>SUM('Daily Input'!AE329:AE338)</f>
        <v>0</v>
      </c>
      <c r="D703" s="17">
        <f>SUM('Daily Input'!AF329:AF338)</f>
        <v>0</v>
      </c>
      <c r="E703" s="36">
        <f t="shared" ref="E703:F703" si="612">IF(B703=0,0,C703/B703)</f>
        <v>0</v>
      </c>
      <c r="F703" s="36">
        <f t="shared" si="612"/>
        <v>0</v>
      </c>
    </row>
    <row r="704" ht="15.75" customHeight="1">
      <c r="A704" s="35" t="s">
        <v>11</v>
      </c>
      <c r="B704" s="17">
        <f>SUM('Daily Input'!AG329:AG338)</f>
        <v>0</v>
      </c>
      <c r="C704" s="17">
        <f>SUM('Daily Input'!AH329:AH338)</f>
        <v>0</v>
      </c>
      <c r="D704" s="17">
        <f>SUM('Daily Input'!AI329:AI338)</f>
        <v>0</v>
      </c>
      <c r="E704" s="36">
        <f t="shared" ref="E704:F704" si="613">IF(B704=0,0,C704/B704)</f>
        <v>0</v>
      </c>
      <c r="F704" s="36">
        <f t="shared" si="613"/>
        <v>0</v>
      </c>
    </row>
    <row r="705" ht="15.75" customHeight="1">
      <c r="A705" s="35" t="s">
        <v>12</v>
      </c>
      <c r="B705" s="17">
        <f>SUM('Daily Input'!AJ329:AJ338)</f>
        <v>0</v>
      </c>
      <c r="C705" s="17">
        <f>SUM('Daily Input'!AK329:AK338)</f>
        <v>0</v>
      </c>
      <c r="D705" s="17">
        <f>SUM('Daily Input'!AL329:AL338)</f>
        <v>0</v>
      </c>
      <c r="E705" s="36">
        <f t="shared" ref="E705:F705" si="614">IF(B705=0,0,C705/B705)</f>
        <v>0</v>
      </c>
      <c r="F705" s="36">
        <f t="shared" si="614"/>
        <v>0</v>
      </c>
    </row>
    <row r="706" ht="15.75" customHeight="1">
      <c r="A706" s="37" t="s">
        <v>59</v>
      </c>
      <c r="B706" s="29">
        <f t="shared" ref="B706:D706" si="615">SUM(B694:B705)</f>
        <v>0</v>
      </c>
      <c r="C706" s="29">
        <f t="shared" si="615"/>
        <v>0</v>
      </c>
      <c r="D706" s="29">
        <f t="shared" si="615"/>
        <v>0</v>
      </c>
      <c r="E706" s="30">
        <f t="shared" ref="E706:F706" si="616">IF(B706=0,0,C706/B706)</f>
        <v>0</v>
      </c>
      <c r="F706" s="30">
        <f t="shared" si="616"/>
        <v>0</v>
      </c>
    </row>
    <row r="707" ht="15.75" customHeight="1"/>
    <row r="708" ht="15.75" customHeight="1">
      <c r="A708" s="33" t="s">
        <v>103</v>
      </c>
      <c r="B708" s="4"/>
      <c r="C708" s="4"/>
      <c r="D708" s="4"/>
      <c r="E708" s="4"/>
      <c r="F708" s="4"/>
      <c r="G708" s="4"/>
      <c r="H708" s="5"/>
    </row>
    <row r="709" ht="15.75" customHeight="1">
      <c r="A709" s="34" t="s">
        <v>55</v>
      </c>
      <c r="B709" s="34" t="s">
        <v>16</v>
      </c>
      <c r="C709" s="34" t="s">
        <v>17</v>
      </c>
      <c r="D709" s="34" t="s">
        <v>56</v>
      </c>
      <c r="E709" s="34" t="s">
        <v>57</v>
      </c>
      <c r="F709" s="34" t="s">
        <v>58</v>
      </c>
    </row>
    <row r="710" ht="15.75" customHeight="1">
      <c r="A710" s="35" t="s">
        <v>1</v>
      </c>
      <c r="B710" s="17">
        <f>SUM('Daily Input'!C339:C345)</f>
        <v>0</v>
      </c>
      <c r="C710" s="17">
        <f>SUM('Daily Input'!D339:D345)</f>
        <v>0</v>
      </c>
      <c r="D710" s="17">
        <f>SUM('Daily Input'!E339:E345)</f>
        <v>0</v>
      </c>
      <c r="E710" s="36">
        <f t="shared" ref="E710:F710" si="617">IF(B710=0,0,C710/B710)</f>
        <v>0</v>
      </c>
      <c r="F710" s="36">
        <f t="shared" si="617"/>
        <v>0</v>
      </c>
    </row>
    <row r="711" ht="15.75" customHeight="1">
      <c r="A711" s="35" t="s">
        <v>2</v>
      </c>
      <c r="B711" s="17">
        <f>SUM('Daily Input'!F339:F345)</f>
        <v>0</v>
      </c>
      <c r="C711" s="17">
        <f>SUM('Daily Input'!G339:G345)</f>
        <v>0</v>
      </c>
      <c r="D711" s="17">
        <f>SUM('Daily Input'!H339:H345)</f>
        <v>0</v>
      </c>
      <c r="E711" s="36">
        <f t="shared" ref="E711:F711" si="618">IF(B711=0,0,C711/B711)</f>
        <v>0</v>
      </c>
      <c r="F711" s="36">
        <f t="shared" si="618"/>
        <v>0</v>
      </c>
    </row>
    <row r="712" ht="15.75" customHeight="1">
      <c r="A712" s="35" t="s">
        <v>3</v>
      </c>
      <c r="B712" s="17">
        <f>SUM('Daily Input'!I339:I345)</f>
        <v>0</v>
      </c>
      <c r="C712" s="17">
        <f>SUM('Daily Input'!J339:J345)</f>
        <v>0</v>
      </c>
      <c r="D712" s="17">
        <f>SUM('Daily Input'!K339:K345)</f>
        <v>0</v>
      </c>
      <c r="E712" s="36">
        <f t="shared" ref="E712:F712" si="619">IF(B712=0,0,C712/B712)</f>
        <v>0</v>
      </c>
      <c r="F712" s="36">
        <f t="shared" si="619"/>
        <v>0</v>
      </c>
    </row>
    <row r="713" ht="15.75" customHeight="1">
      <c r="A713" s="35" t="s">
        <v>4</v>
      </c>
      <c r="B713" s="17">
        <f>SUM('Daily Input'!L339:L345)</f>
        <v>0</v>
      </c>
      <c r="C713" s="17">
        <f>SUM('Daily Input'!M339:M345)</f>
        <v>0</v>
      </c>
      <c r="D713" s="17">
        <f>SUM('Daily Input'!N339:N345)</f>
        <v>0</v>
      </c>
      <c r="E713" s="36">
        <f t="shared" ref="E713:F713" si="620">IF(B713=0,0,C713/B713)</f>
        <v>0</v>
      </c>
      <c r="F713" s="36">
        <f t="shared" si="620"/>
        <v>0</v>
      </c>
    </row>
    <row r="714" ht="15.75" customHeight="1">
      <c r="A714" s="35" t="s">
        <v>5</v>
      </c>
      <c r="B714" s="17">
        <f>SUM('Daily Input'!O339:O345)</f>
        <v>0</v>
      </c>
      <c r="C714" s="17">
        <f>SUM('Daily Input'!P339:P345)</f>
        <v>0</v>
      </c>
      <c r="D714" s="17">
        <f>SUM('Daily Input'!Q339:Q345)</f>
        <v>0</v>
      </c>
      <c r="E714" s="36">
        <f t="shared" ref="E714:F714" si="621">IF(B714=0,0,C714/B714)</f>
        <v>0</v>
      </c>
      <c r="F714" s="36">
        <f t="shared" si="621"/>
        <v>0</v>
      </c>
    </row>
    <row r="715" ht="15.75" customHeight="1">
      <c r="A715" s="35" t="s">
        <v>6</v>
      </c>
      <c r="B715" s="17">
        <f>SUM('Daily Input'!R339:R345)</f>
        <v>0</v>
      </c>
      <c r="C715" s="17">
        <f>SUM('Daily Input'!S339:S345)</f>
        <v>0</v>
      </c>
      <c r="D715" s="17">
        <f>SUM('Daily Input'!T339:T345)</f>
        <v>0</v>
      </c>
      <c r="E715" s="36">
        <f t="shared" ref="E715:F715" si="622">IF(B715=0,0,C715/B715)</f>
        <v>0</v>
      </c>
      <c r="F715" s="36">
        <f t="shared" si="622"/>
        <v>0</v>
      </c>
    </row>
    <row r="716" ht="15.75" customHeight="1">
      <c r="A716" s="35" t="s">
        <v>7</v>
      </c>
      <c r="B716" s="17">
        <f>SUM('Daily Input'!U339:U345)</f>
        <v>0</v>
      </c>
      <c r="C716" s="17">
        <f>SUM('Daily Input'!V339:V345)</f>
        <v>0</v>
      </c>
      <c r="D716" s="17">
        <f>SUM('Daily Input'!W339:W345)</f>
        <v>0</v>
      </c>
      <c r="E716" s="36">
        <f t="shared" ref="E716:F716" si="623">IF(B716=0,0,C716/B716)</f>
        <v>0</v>
      </c>
      <c r="F716" s="36">
        <f t="shared" si="623"/>
        <v>0</v>
      </c>
    </row>
    <row r="717" ht="15.75" customHeight="1">
      <c r="A717" s="35" t="s">
        <v>8</v>
      </c>
      <c r="B717" s="17">
        <f>SUM('Daily Input'!X339:X345)</f>
        <v>0</v>
      </c>
      <c r="C717" s="17">
        <f>SUM('Daily Input'!Y339:Y345)</f>
        <v>0</v>
      </c>
      <c r="D717" s="17">
        <f>SUM('Daily Input'!Z339:Z345)</f>
        <v>0</v>
      </c>
      <c r="E717" s="36">
        <f t="shared" ref="E717:F717" si="624">IF(B717=0,0,C717/B717)</f>
        <v>0</v>
      </c>
      <c r="F717" s="36">
        <f t="shared" si="624"/>
        <v>0</v>
      </c>
    </row>
    <row r="718" ht="15.75" customHeight="1">
      <c r="A718" s="35" t="s">
        <v>9</v>
      </c>
      <c r="B718" s="17">
        <f>SUM('Daily Input'!AA339:AA345)</f>
        <v>0</v>
      </c>
      <c r="C718" s="17">
        <f>SUM('Daily Input'!AB339:AB345)</f>
        <v>0</v>
      </c>
      <c r="D718" s="17">
        <f>SUM('Daily Input'!AC339:AC345)</f>
        <v>0</v>
      </c>
      <c r="E718" s="36">
        <f t="shared" ref="E718:F718" si="625">IF(B718=0,0,C718/B718)</f>
        <v>0</v>
      </c>
      <c r="F718" s="36">
        <f t="shared" si="625"/>
        <v>0</v>
      </c>
    </row>
    <row r="719" ht="15.75" customHeight="1">
      <c r="A719" s="35" t="s">
        <v>10</v>
      </c>
      <c r="B719" s="17">
        <f>SUM('Daily Input'!AD339:AD345)</f>
        <v>0</v>
      </c>
      <c r="C719" s="17">
        <f>SUM('Daily Input'!AE339:AE345)</f>
        <v>0</v>
      </c>
      <c r="D719" s="17">
        <f>SUM('Daily Input'!AF339:AF345)</f>
        <v>0</v>
      </c>
      <c r="E719" s="36">
        <f t="shared" ref="E719:F719" si="626">IF(B719=0,0,C719/B719)</f>
        <v>0</v>
      </c>
      <c r="F719" s="36">
        <f t="shared" si="626"/>
        <v>0</v>
      </c>
    </row>
    <row r="720" ht="15.75" customHeight="1">
      <c r="A720" s="35" t="s">
        <v>11</v>
      </c>
      <c r="B720" s="17">
        <f>SUM('Daily Input'!AG339:AG345)</f>
        <v>0</v>
      </c>
      <c r="C720" s="17">
        <f>SUM('Daily Input'!AH339:AH345)</f>
        <v>0</v>
      </c>
      <c r="D720" s="17">
        <f>SUM('Daily Input'!AI339:AI345)</f>
        <v>0</v>
      </c>
      <c r="E720" s="36">
        <f t="shared" ref="E720:F720" si="627">IF(B720=0,0,C720/B720)</f>
        <v>0</v>
      </c>
      <c r="F720" s="36">
        <f t="shared" si="627"/>
        <v>0</v>
      </c>
    </row>
    <row r="721" ht="15.75" customHeight="1">
      <c r="A721" s="35" t="s">
        <v>12</v>
      </c>
      <c r="B721" s="17">
        <f>SUM('Daily Input'!AJ339:AJ345)</f>
        <v>0</v>
      </c>
      <c r="C721" s="17">
        <f>SUM('Daily Input'!AK339:AK345)</f>
        <v>0</v>
      </c>
      <c r="D721" s="17">
        <f>SUM('Daily Input'!AL339:AL345)</f>
        <v>0</v>
      </c>
      <c r="E721" s="36">
        <f t="shared" ref="E721:F721" si="628">IF(B721=0,0,C721/B721)</f>
        <v>0</v>
      </c>
      <c r="F721" s="36">
        <f t="shared" si="628"/>
        <v>0</v>
      </c>
    </row>
    <row r="722" ht="15.75" customHeight="1">
      <c r="A722" s="37" t="s">
        <v>59</v>
      </c>
      <c r="B722" s="29">
        <f t="shared" ref="B722:D722" si="629">SUM(B710:B721)</f>
        <v>0</v>
      </c>
      <c r="C722" s="29">
        <f t="shared" si="629"/>
        <v>0</v>
      </c>
      <c r="D722" s="29">
        <f t="shared" si="629"/>
        <v>0</v>
      </c>
      <c r="E722" s="30">
        <f t="shared" ref="E722:F722" si="630">IF(B722=0,0,C722/B722)</f>
        <v>0</v>
      </c>
      <c r="F722" s="30">
        <f t="shared" si="630"/>
        <v>0</v>
      </c>
    </row>
    <row r="723" ht="15.75" customHeight="1"/>
    <row r="724" ht="15.75" customHeight="1">
      <c r="A724" s="33" t="s">
        <v>104</v>
      </c>
      <c r="B724" s="4"/>
      <c r="C724" s="4"/>
      <c r="D724" s="4"/>
      <c r="E724" s="4"/>
      <c r="F724" s="4"/>
      <c r="G724" s="4"/>
      <c r="H724" s="5"/>
    </row>
    <row r="725" ht="15.75" customHeight="1">
      <c r="A725" s="34" t="s">
        <v>55</v>
      </c>
      <c r="B725" s="34" t="s">
        <v>16</v>
      </c>
      <c r="C725" s="34" t="s">
        <v>17</v>
      </c>
      <c r="D725" s="34" t="s">
        <v>56</v>
      </c>
      <c r="E725" s="34" t="s">
        <v>57</v>
      </c>
      <c r="F725" s="34" t="s">
        <v>58</v>
      </c>
    </row>
    <row r="726" ht="15.75" customHeight="1">
      <c r="A726" s="35" t="s">
        <v>1</v>
      </c>
      <c r="B726" s="17">
        <f>SUM('Daily Input'!C346:C352)</f>
        <v>0</v>
      </c>
      <c r="C726" s="17">
        <f>SUM('Daily Input'!D346:D352)</f>
        <v>0</v>
      </c>
      <c r="D726" s="17">
        <f>SUM('Daily Input'!E346:E352)</f>
        <v>0</v>
      </c>
      <c r="E726" s="36">
        <f t="shared" ref="E726:F726" si="631">IF(B726=0,0,C726/B726)</f>
        <v>0</v>
      </c>
      <c r="F726" s="36">
        <f t="shared" si="631"/>
        <v>0</v>
      </c>
    </row>
    <row r="727" ht="15.75" customHeight="1">
      <c r="A727" s="35" t="s">
        <v>2</v>
      </c>
      <c r="B727" s="17">
        <f>SUM('Daily Input'!F346:F352)</f>
        <v>0</v>
      </c>
      <c r="C727" s="17">
        <f>SUM('Daily Input'!G346:G352)</f>
        <v>0</v>
      </c>
      <c r="D727" s="17">
        <f>SUM('Daily Input'!H346:H352)</f>
        <v>0</v>
      </c>
      <c r="E727" s="36">
        <f t="shared" ref="E727:F727" si="632">IF(B727=0,0,C727/B727)</f>
        <v>0</v>
      </c>
      <c r="F727" s="36">
        <f t="shared" si="632"/>
        <v>0</v>
      </c>
    </row>
    <row r="728" ht="15.75" customHeight="1">
      <c r="A728" s="35" t="s">
        <v>3</v>
      </c>
      <c r="B728" s="17">
        <f>SUM('Daily Input'!I346:I352)</f>
        <v>0</v>
      </c>
      <c r="C728" s="17">
        <f>SUM('Daily Input'!J346:J352)</f>
        <v>0</v>
      </c>
      <c r="D728" s="17">
        <f>SUM('Daily Input'!K346:K352)</f>
        <v>0</v>
      </c>
      <c r="E728" s="36">
        <f t="shared" ref="E728:F728" si="633">IF(B728=0,0,C728/B728)</f>
        <v>0</v>
      </c>
      <c r="F728" s="36">
        <f t="shared" si="633"/>
        <v>0</v>
      </c>
    </row>
    <row r="729" ht="15.75" customHeight="1">
      <c r="A729" s="35" t="s">
        <v>4</v>
      </c>
      <c r="B729" s="17">
        <f>SUM('Daily Input'!L346:L352)</f>
        <v>0</v>
      </c>
      <c r="C729" s="17">
        <f>SUM('Daily Input'!M346:M352)</f>
        <v>0</v>
      </c>
      <c r="D729" s="17">
        <f>SUM('Daily Input'!N346:N352)</f>
        <v>0</v>
      </c>
      <c r="E729" s="36">
        <f t="shared" ref="E729:F729" si="634">IF(B729=0,0,C729/B729)</f>
        <v>0</v>
      </c>
      <c r="F729" s="36">
        <f t="shared" si="634"/>
        <v>0</v>
      </c>
    </row>
    <row r="730" ht="15.75" customHeight="1">
      <c r="A730" s="35" t="s">
        <v>5</v>
      </c>
      <c r="B730" s="17">
        <f>SUM('Daily Input'!O346:O352)</f>
        <v>0</v>
      </c>
      <c r="C730" s="17">
        <f>SUM('Daily Input'!P346:P352)</f>
        <v>0</v>
      </c>
      <c r="D730" s="17">
        <f>SUM('Daily Input'!Q346:Q352)</f>
        <v>0</v>
      </c>
      <c r="E730" s="36">
        <f t="shared" ref="E730:F730" si="635">IF(B730=0,0,C730/B730)</f>
        <v>0</v>
      </c>
      <c r="F730" s="36">
        <f t="shared" si="635"/>
        <v>0</v>
      </c>
    </row>
    <row r="731" ht="15.75" customHeight="1">
      <c r="A731" s="35" t="s">
        <v>6</v>
      </c>
      <c r="B731" s="17">
        <f>SUM('Daily Input'!R346:R352)</f>
        <v>0</v>
      </c>
      <c r="C731" s="17">
        <f>SUM('Daily Input'!S346:S352)</f>
        <v>0</v>
      </c>
      <c r="D731" s="17">
        <f>SUM('Daily Input'!T346:T352)</f>
        <v>0</v>
      </c>
      <c r="E731" s="36">
        <f t="shared" ref="E731:F731" si="636">IF(B731=0,0,C731/B731)</f>
        <v>0</v>
      </c>
      <c r="F731" s="36">
        <f t="shared" si="636"/>
        <v>0</v>
      </c>
    </row>
    <row r="732" ht="15.75" customHeight="1">
      <c r="A732" s="35" t="s">
        <v>7</v>
      </c>
      <c r="B732" s="17">
        <f>SUM('Daily Input'!U346:U352)</f>
        <v>0</v>
      </c>
      <c r="C732" s="17">
        <f>SUM('Daily Input'!V346:V352)</f>
        <v>0</v>
      </c>
      <c r="D732" s="17">
        <f>SUM('Daily Input'!W346:W352)</f>
        <v>0</v>
      </c>
      <c r="E732" s="36">
        <f t="shared" ref="E732:F732" si="637">IF(B732=0,0,C732/B732)</f>
        <v>0</v>
      </c>
      <c r="F732" s="36">
        <f t="shared" si="637"/>
        <v>0</v>
      </c>
    </row>
    <row r="733" ht="15.75" customHeight="1">
      <c r="A733" s="35" t="s">
        <v>8</v>
      </c>
      <c r="B733" s="17">
        <f>SUM('Daily Input'!X346:X352)</f>
        <v>0</v>
      </c>
      <c r="C733" s="17">
        <f>SUM('Daily Input'!Y346:Y352)</f>
        <v>0</v>
      </c>
      <c r="D733" s="17">
        <f>SUM('Daily Input'!Z346:Z352)</f>
        <v>0</v>
      </c>
      <c r="E733" s="36">
        <f t="shared" ref="E733:F733" si="638">IF(B733=0,0,C733/B733)</f>
        <v>0</v>
      </c>
      <c r="F733" s="36">
        <f t="shared" si="638"/>
        <v>0</v>
      </c>
    </row>
    <row r="734" ht="15.75" customHeight="1">
      <c r="A734" s="35" t="s">
        <v>9</v>
      </c>
      <c r="B734" s="17">
        <f>SUM('Daily Input'!AA346:AA352)</f>
        <v>0</v>
      </c>
      <c r="C734" s="17">
        <f>SUM('Daily Input'!AB346:AB352)</f>
        <v>0</v>
      </c>
      <c r="D734" s="17">
        <f>SUM('Daily Input'!AC346:AC352)</f>
        <v>0</v>
      </c>
      <c r="E734" s="36">
        <f t="shared" ref="E734:F734" si="639">IF(B734=0,0,C734/B734)</f>
        <v>0</v>
      </c>
      <c r="F734" s="36">
        <f t="shared" si="639"/>
        <v>0</v>
      </c>
    </row>
    <row r="735" ht="15.75" customHeight="1">
      <c r="A735" s="35" t="s">
        <v>10</v>
      </c>
      <c r="B735" s="17">
        <f>SUM('Daily Input'!AD346:AD352)</f>
        <v>0</v>
      </c>
      <c r="C735" s="17">
        <f>SUM('Daily Input'!AE346:AE352)</f>
        <v>0</v>
      </c>
      <c r="D735" s="17">
        <f>SUM('Daily Input'!AF346:AF352)</f>
        <v>0</v>
      </c>
      <c r="E735" s="36">
        <f t="shared" ref="E735:F735" si="640">IF(B735=0,0,C735/B735)</f>
        <v>0</v>
      </c>
      <c r="F735" s="36">
        <f t="shared" si="640"/>
        <v>0</v>
      </c>
    </row>
    <row r="736" ht="15.75" customHeight="1">
      <c r="A736" s="35" t="s">
        <v>11</v>
      </c>
      <c r="B736" s="17">
        <f>SUM('Daily Input'!AG346:AG352)</f>
        <v>0</v>
      </c>
      <c r="C736" s="17">
        <f>SUM('Daily Input'!AH346:AH352)</f>
        <v>0</v>
      </c>
      <c r="D736" s="17">
        <f>SUM('Daily Input'!AI346:AI352)</f>
        <v>0</v>
      </c>
      <c r="E736" s="36">
        <f t="shared" ref="E736:F736" si="641">IF(B736=0,0,C736/B736)</f>
        <v>0</v>
      </c>
      <c r="F736" s="36">
        <f t="shared" si="641"/>
        <v>0</v>
      </c>
    </row>
    <row r="737" ht="15.75" customHeight="1">
      <c r="A737" s="35" t="s">
        <v>12</v>
      </c>
      <c r="B737" s="17">
        <f>SUM('Daily Input'!AJ346:AJ352)</f>
        <v>0</v>
      </c>
      <c r="C737" s="17">
        <f>SUM('Daily Input'!AK346:AK352)</f>
        <v>0</v>
      </c>
      <c r="D737" s="17">
        <f>SUM('Daily Input'!AL346:AL352)</f>
        <v>0</v>
      </c>
      <c r="E737" s="36">
        <f t="shared" ref="E737:F737" si="642">IF(B737=0,0,C737/B737)</f>
        <v>0</v>
      </c>
      <c r="F737" s="36">
        <f t="shared" si="642"/>
        <v>0</v>
      </c>
    </row>
    <row r="738" ht="15.75" customHeight="1">
      <c r="A738" s="37" t="s">
        <v>59</v>
      </c>
      <c r="B738" s="29">
        <f t="shared" ref="B738:D738" si="643">SUM(B726:B737)</f>
        <v>0</v>
      </c>
      <c r="C738" s="29">
        <f t="shared" si="643"/>
        <v>0</v>
      </c>
      <c r="D738" s="29">
        <f t="shared" si="643"/>
        <v>0</v>
      </c>
      <c r="E738" s="30">
        <f t="shared" ref="E738:F738" si="644">IF(B738=0,0,C738/B738)</f>
        <v>0</v>
      </c>
      <c r="F738" s="30">
        <f t="shared" si="644"/>
        <v>0</v>
      </c>
    </row>
    <row r="739" ht="15.75" customHeight="1"/>
    <row r="740" ht="15.75" customHeight="1">
      <c r="A740" s="33" t="s">
        <v>105</v>
      </c>
      <c r="B740" s="4"/>
      <c r="C740" s="4"/>
      <c r="D740" s="4"/>
      <c r="E740" s="4"/>
      <c r="F740" s="4"/>
      <c r="G740" s="4"/>
      <c r="H740" s="5"/>
    </row>
    <row r="741" ht="15.75" customHeight="1">
      <c r="A741" s="34" t="s">
        <v>55</v>
      </c>
      <c r="B741" s="34" t="s">
        <v>16</v>
      </c>
      <c r="C741" s="34" t="s">
        <v>17</v>
      </c>
      <c r="D741" s="34" t="s">
        <v>56</v>
      </c>
      <c r="E741" s="34" t="s">
        <v>57</v>
      </c>
      <c r="F741" s="34" t="s">
        <v>58</v>
      </c>
    </row>
    <row r="742" ht="15.75" customHeight="1">
      <c r="A742" s="35" t="s">
        <v>1</v>
      </c>
      <c r="B742" s="17">
        <f>SUM('Daily Input'!C353:C359)</f>
        <v>0</v>
      </c>
      <c r="C742" s="17">
        <f>SUM('Daily Input'!D353:D359)</f>
        <v>0</v>
      </c>
      <c r="D742" s="17">
        <f>SUM('Daily Input'!E353:E359)</f>
        <v>0</v>
      </c>
      <c r="E742" s="36">
        <f t="shared" ref="E742:F742" si="645">IF(B742=0,0,C742/B742)</f>
        <v>0</v>
      </c>
      <c r="F742" s="36">
        <f t="shared" si="645"/>
        <v>0</v>
      </c>
    </row>
    <row r="743" ht="15.75" customHeight="1">
      <c r="A743" s="35" t="s">
        <v>2</v>
      </c>
      <c r="B743" s="17">
        <f>SUM('Daily Input'!F353:F359)</f>
        <v>0</v>
      </c>
      <c r="C743" s="17">
        <f>SUM('Daily Input'!G353:G359)</f>
        <v>0</v>
      </c>
      <c r="D743" s="17">
        <f>SUM('Daily Input'!H353:H359)</f>
        <v>0</v>
      </c>
      <c r="E743" s="36">
        <f t="shared" ref="E743:F743" si="646">IF(B743=0,0,C743/B743)</f>
        <v>0</v>
      </c>
      <c r="F743" s="36">
        <f t="shared" si="646"/>
        <v>0</v>
      </c>
    </row>
    <row r="744" ht="15.75" customHeight="1">
      <c r="A744" s="35" t="s">
        <v>3</v>
      </c>
      <c r="B744" s="17">
        <f>SUM('Daily Input'!I353:I359)</f>
        <v>0</v>
      </c>
      <c r="C744" s="17">
        <f>SUM('Daily Input'!J353:J359)</f>
        <v>0</v>
      </c>
      <c r="D744" s="17">
        <f>SUM('Daily Input'!K353:K359)</f>
        <v>0</v>
      </c>
      <c r="E744" s="36">
        <f t="shared" ref="E744:F744" si="647">IF(B744=0,0,C744/B744)</f>
        <v>0</v>
      </c>
      <c r="F744" s="36">
        <f t="shared" si="647"/>
        <v>0</v>
      </c>
    </row>
    <row r="745" ht="15.75" customHeight="1">
      <c r="A745" s="35" t="s">
        <v>4</v>
      </c>
      <c r="B745" s="17">
        <f>SUM('Daily Input'!L353:L359)</f>
        <v>0</v>
      </c>
      <c r="C745" s="17">
        <f>SUM('Daily Input'!M353:M359)</f>
        <v>0</v>
      </c>
      <c r="D745" s="17">
        <f>SUM('Daily Input'!N353:N359)</f>
        <v>0</v>
      </c>
      <c r="E745" s="36">
        <f t="shared" ref="E745:F745" si="648">IF(B745=0,0,C745/B745)</f>
        <v>0</v>
      </c>
      <c r="F745" s="36">
        <f t="shared" si="648"/>
        <v>0</v>
      </c>
    </row>
    <row r="746" ht="15.75" customHeight="1">
      <c r="A746" s="35" t="s">
        <v>5</v>
      </c>
      <c r="B746" s="17">
        <f>SUM('Daily Input'!O353:O359)</f>
        <v>0</v>
      </c>
      <c r="C746" s="17">
        <f>SUM('Daily Input'!P353:P359)</f>
        <v>0</v>
      </c>
      <c r="D746" s="17">
        <f>SUM('Daily Input'!Q353:Q359)</f>
        <v>0</v>
      </c>
      <c r="E746" s="36">
        <f t="shared" ref="E746:F746" si="649">IF(B746=0,0,C746/B746)</f>
        <v>0</v>
      </c>
      <c r="F746" s="36">
        <f t="shared" si="649"/>
        <v>0</v>
      </c>
    </row>
    <row r="747" ht="15.75" customHeight="1">
      <c r="A747" s="35" t="s">
        <v>6</v>
      </c>
      <c r="B747" s="17">
        <f>SUM('Daily Input'!R353:R359)</f>
        <v>0</v>
      </c>
      <c r="C747" s="17">
        <f>SUM('Daily Input'!S353:S359)</f>
        <v>0</v>
      </c>
      <c r="D747" s="17">
        <f>SUM('Daily Input'!T353:T359)</f>
        <v>0</v>
      </c>
      <c r="E747" s="36">
        <f t="shared" ref="E747:F747" si="650">IF(B747=0,0,C747/B747)</f>
        <v>0</v>
      </c>
      <c r="F747" s="36">
        <f t="shared" si="650"/>
        <v>0</v>
      </c>
    </row>
    <row r="748" ht="15.75" customHeight="1">
      <c r="A748" s="35" t="s">
        <v>7</v>
      </c>
      <c r="B748" s="17">
        <f>SUM('Daily Input'!U353:U359)</f>
        <v>0</v>
      </c>
      <c r="C748" s="17">
        <f>SUM('Daily Input'!V353:V359)</f>
        <v>0</v>
      </c>
      <c r="D748" s="17">
        <f>SUM('Daily Input'!W353:W359)</f>
        <v>0</v>
      </c>
      <c r="E748" s="36">
        <f t="shared" ref="E748:F748" si="651">IF(B748=0,0,C748/B748)</f>
        <v>0</v>
      </c>
      <c r="F748" s="36">
        <f t="shared" si="651"/>
        <v>0</v>
      </c>
    </row>
    <row r="749" ht="15.75" customHeight="1">
      <c r="A749" s="35" t="s">
        <v>8</v>
      </c>
      <c r="B749" s="17">
        <f>SUM('Daily Input'!X353:X359)</f>
        <v>0</v>
      </c>
      <c r="C749" s="17">
        <f>SUM('Daily Input'!Y353:Y359)</f>
        <v>0</v>
      </c>
      <c r="D749" s="17">
        <f>SUM('Daily Input'!Z353:Z359)</f>
        <v>0</v>
      </c>
      <c r="E749" s="36">
        <f t="shared" ref="E749:F749" si="652">IF(B749=0,0,C749/B749)</f>
        <v>0</v>
      </c>
      <c r="F749" s="36">
        <f t="shared" si="652"/>
        <v>0</v>
      </c>
    </row>
    <row r="750" ht="15.75" customHeight="1">
      <c r="A750" s="35" t="s">
        <v>9</v>
      </c>
      <c r="B750" s="17">
        <f>SUM('Daily Input'!AA353:AA359)</f>
        <v>0</v>
      </c>
      <c r="C750" s="17">
        <f>SUM('Daily Input'!AB353:AB359)</f>
        <v>0</v>
      </c>
      <c r="D750" s="17">
        <f>SUM('Daily Input'!AC353:AC359)</f>
        <v>0</v>
      </c>
      <c r="E750" s="36">
        <f t="shared" ref="E750:F750" si="653">IF(B750=0,0,C750/B750)</f>
        <v>0</v>
      </c>
      <c r="F750" s="36">
        <f t="shared" si="653"/>
        <v>0</v>
      </c>
    </row>
    <row r="751" ht="15.75" customHeight="1">
      <c r="A751" s="35" t="s">
        <v>10</v>
      </c>
      <c r="B751" s="17">
        <f>SUM('Daily Input'!AD353:AD359)</f>
        <v>0</v>
      </c>
      <c r="C751" s="17">
        <f>SUM('Daily Input'!AE353:AE359)</f>
        <v>0</v>
      </c>
      <c r="D751" s="17">
        <f>SUM('Daily Input'!AF353:AF359)</f>
        <v>0</v>
      </c>
      <c r="E751" s="36">
        <f t="shared" ref="E751:F751" si="654">IF(B751=0,0,C751/B751)</f>
        <v>0</v>
      </c>
      <c r="F751" s="36">
        <f t="shared" si="654"/>
        <v>0</v>
      </c>
    </row>
    <row r="752" ht="15.75" customHeight="1">
      <c r="A752" s="35" t="s">
        <v>11</v>
      </c>
      <c r="B752" s="17">
        <f>SUM('Daily Input'!AG353:AG359)</f>
        <v>0</v>
      </c>
      <c r="C752" s="17">
        <f>SUM('Daily Input'!AH353:AH359)</f>
        <v>0</v>
      </c>
      <c r="D752" s="17">
        <f>SUM('Daily Input'!AI353:AI359)</f>
        <v>0</v>
      </c>
      <c r="E752" s="36">
        <f t="shared" ref="E752:F752" si="655">IF(B752=0,0,C752/B752)</f>
        <v>0</v>
      </c>
      <c r="F752" s="36">
        <f t="shared" si="655"/>
        <v>0</v>
      </c>
    </row>
    <row r="753" ht="15.75" customHeight="1">
      <c r="A753" s="35" t="s">
        <v>12</v>
      </c>
      <c r="B753" s="17">
        <f>SUM('Daily Input'!AJ353:AJ359)</f>
        <v>0</v>
      </c>
      <c r="C753" s="17">
        <f>SUM('Daily Input'!AK353:AK359)</f>
        <v>0</v>
      </c>
      <c r="D753" s="17">
        <f>SUM('Daily Input'!AL353:AL359)</f>
        <v>0</v>
      </c>
      <c r="E753" s="36">
        <f t="shared" ref="E753:F753" si="656">IF(B753=0,0,C753/B753)</f>
        <v>0</v>
      </c>
      <c r="F753" s="36">
        <f t="shared" si="656"/>
        <v>0</v>
      </c>
    </row>
    <row r="754" ht="15.75" customHeight="1">
      <c r="A754" s="37" t="s">
        <v>59</v>
      </c>
      <c r="B754" s="29">
        <f t="shared" ref="B754:D754" si="657">SUM(B742:B753)</f>
        <v>0</v>
      </c>
      <c r="C754" s="29">
        <f t="shared" si="657"/>
        <v>0</v>
      </c>
      <c r="D754" s="29">
        <f t="shared" si="657"/>
        <v>0</v>
      </c>
      <c r="E754" s="30">
        <f t="shared" ref="E754:F754" si="658">IF(B754=0,0,C754/B754)</f>
        <v>0</v>
      </c>
      <c r="F754" s="30">
        <f t="shared" si="658"/>
        <v>0</v>
      </c>
    </row>
    <row r="755" ht="15.75" customHeight="1"/>
    <row r="756" ht="15.75" customHeight="1">
      <c r="A756" s="33" t="s">
        <v>106</v>
      </c>
      <c r="B756" s="4"/>
      <c r="C756" s="4"/>
      <c r="D756" s="4"/>
      <c r="E756" s="4"/>
      <c r="F756" s="4"/>
      <c r="G756" s="4"/>
      <c r="H756" s="5"/>
    </row>
    <row r="757" ht="15.75" customHeight="1">
      <c r="A757" s="34" t="s">
        <v>55</v>
      </c>
      <c r="B757" s="34" t="s">
        <v>16</v>
      </c>
      <c r="C757" s="34" t="s">
        <v>17</v>
      </c>
      <c r="D757" s="34" t="s">
        <v>56</v>
      </c>
      <c r="E757" s="34" t="s">
        <v>57</v>
      </c>
      <c r="F757" s="34" t="s">
        <v>58</v>
      </c>
    </row>
    <row r="758" ht="15.75" customHeight="1">
      <c r="A758" s="35" t="s">
        <v>1</v>
      </c>
      <c r="B758" s="17">
        <f>SUM('Daily Input'!C360:C366)</f>
        <v>0</v>
      </c>
      <c r="C758" s="17">
        <f>SUM('Daily Input'!D360:D366)</f>
        <v>0</v>
      </c>
      <c r="D758" s="17">
        <f>SUM('Daily Input'!E360:E366)</f>
        <v>0</v>
      </c>
      <c r="E758" s="36">
        <f t="shared" ref="E758:F758" si="659">IF(B758=0,0,C758/B758)</f>
        <v>0</v>
      </c>
      <c r="F758" s="36">
        <f t="shared" si="659"/>
        <v>0</v>
      </c>
    </row>
    <row r="759" ht="15.75" customHeight="1">
      <c r="A759" s="35" t="s">
        <v>2</v>
      </c>
      <c r="B759" s="17">
        <f>SUM('Daily Input'!F360:F366)</f>
        <v>0</v>
      </c>
      <c r="C759" s="17">
        <f>SUM('Daily Input'!G360:G366)</f>
        <v>0</v>
      </c>
      <c r="D759" s="17">
        <f>SUM('Daily Input'!H360:H366)</f>
        <v>0</v>
      </c>
      <c r="E759" s="36">
        <f t="shared" ref="E759:F759" si="660">IF(B759=0,0,C759/B759)</f>
        <v>0</v>
      </c>
      <c r="F759" s="36">
        <f t="shared" si="660"/>
        <v>0</v>
      </c>
    </row>
    <row r="760" ht="15.75" customHeight="1">
      <c r="A760" s="35" t="s">
        <v>3</v>
      </c>
      <c r="B760" s="17">
        <f>SUM('Daily Input'!I360:I366)</f>
        <v>0</v>
      </c>
      <c r="C760" s="17">
        <f>SUM('Daily Input'!J360:J366)</f>
        <v>0</v>
      </c>
      <c r="D760" s="17">
        <f>SUM('Daily Input'!K360:K366)</f>
        <v>0</v>
      </c>
      <c r="E760" s="36">
        <f t="shared" ref="E760:F760" si="661">IF(B760=0,0,C760/B760)</f>
        <v>0</v>
      </c>
      <c r="F760" s="36">
        <f t="shared" si="661"/>
        <v>0</v>
      </c>
    </row>
    <row r="761" ht="15.75" customHeight="1">
      <c r="A761" s="35" t="s">
        <v>4</v>
      </c>
      <c r="B761" s="17">
        <f>SUM('Daily Input'!L360:L366)</f>
        <v>0</v>
      </c>
      <c r="C761" s="17">
        <f>SUM('Daily Input'!M360:M366)</f>
        <v>0</v>
      </c>
      <c r="D761" s="17">
        <f>SUM('Daily Input'!N360:N366)</f>
        <v>0</v>
      </c>
      <c r="E761" s="36">
        <f t="shared" ref="E761:F761" si="662">IF(B761=0,0,C761/B761)</f>
        <v>0</v>
      </c>
      <c r="F761" s="36">
        <f t="shared" si="662"/>
        <v>0</v>
      </c>
    </row>
    <row r="762" ht="15.75" customHeight="1">
      <c r="A762" s="35" t="s">
        <v>5</v>
      </c>
      <c r="B762" s="17">
        <f>SUM('Daily Input'!O360:O366)</f>
        <v>0</v>
      </c>
      <c r="C762" s="17">
        <f>SUM('Daily Input'!P360:P366)</f>
        <v>0</v>
      </c>
      <c r="D762" s="17">
        <f>SUM('Daily Input'!Q360:Q366)</f>
        <v>0</v>
      </c>
      <c r="E762" s="36">
        <f t="shared" ref="E762:F762" si="663">IF(B762=0,0,C762/B762)</f>
        <v>0</v>
      </c>
      <c r="F762" s="36">
        <f t="shared" si="663"/>
        <v>0</v>
      </c>
    </row>
    <row r="763" ht="15.75" customHeight="1">
      <c r="A763" s="35" t="s">
        <v>6</v>
      </c>
      <c r="B763" s="17">
        <f>SUM('Daily Input'!R360:R366)</f>
        <v>0</v>
      </c>
      <c r="C763" s="17">
        <f>SUM('Daily Input'!S360:S366)</f>
        <v>0</v>
      </c>
      <c r="D763" s="17">
        <f>SUM('Daily Input'!T360:T366)</f>
        <v>0</v>
      </c>
      <c r="E763" s="36">
        <f t="shared" ref="E763:F763" si="664">IF(B763=0,0,C763/B763)</f>
        <v>0</v>
      </c>
      <c r="F763" s="36">
        <f t="shared" si="664"/>
        <v>0</v>
      </c>
    </row>
    <row r="764" ht="15.75" customHeight="1">
      <c r="A764" s="35" t="s">
        <v>7</v>
      </c>
      <c r="B764" s="17">
        <f>SUM('Daily Input'!U360:U366)</f>
        <v>0</v>
      </c>
      <c r="C764" s="17">
        <f>SUM('Daily Input'!V360:V366)</f>
        <v>0</v>
      </c>
      <c r="D764" s="17">
        <f>SUM('Daily Input'!W360:W366)</f>
        <v>0</v>
      </c>
      <c r="E764" s="36">
        <f t="shared" ref="E764:F764" si="665">IF(B764=0,0,C764/B764)</f>
        <v>0</v>
      </c>
      <c r="F764" s="36">
        <f t="shared" si="665"/>
        <v>0</v>
      </c>
    </row>
    <row r="765" ht="15.75" customHeight="1">
      <c r="A765" s="35" t="s">
        <v>8</v>
      </c>
      <c r="B765" s="17">
        <f>SUM('Daily Input'!X360:X366)</f>
        <v>0</v>
      </c>
      <c r="C765" s="17">
        <f>SUM('Daily Input'!Y360:Y366)</f>
        <v>0</v>
      </c>
      <c r="D765" s="17">
        <f>SUM('Daily Input'!Z360:Z366)</f>
        <v>0</v>
      </c>
      <c r="E765" s="36">
        <f t="shared" ref="E765:F765" si="666">IF(B765=0,0,C765/B765)</f>
        <v>0</v>
      </c>
      <c r="F765" s="36">
        <f t="shared" si="666"/>
        <v>0</v>
      </c>
    </row>
    <row r="766" ht="15.75" customHeight="1">
      <c r="A766" s="35" t="s">
        <v>9</v>
      </c>
      <c r="B766" s="17">
        <f>SUM('Daily Input'!AA360:AA366)</f>
        <v>0</v>
      </c>
      <c r="C766" s="17">
        <f>SUM('Daily Input'!AB360:AB366)</f>
        <v>0</v>
      </c>
      <c r="D766" s="17">
        <f>SUM('Daily Input'!AC360:AC366)</f>
        <v>0</v>
      </c>
      <c r="E766" s="36">
        <f t="shared" ref="E766:F766" si="667">IF(B766=0,0,C766/B766)</f>
        <v>0</v>
      </c>
      <c r="F766" s="36">
        <f t="shared" si="667"/>
        <v>0</v>
      </c>
    </row>
    <row r="767" ht="15.75" customHeight="1">
      <c r="A767" s="35" t="s">
        <v>10</v>
      </c>
      <c r="B767" s="17">
        <f>SUM('Daily Input'!AD360:AD366)</f>
        <v>0</v>
      </c>
      <c r="C767" s="17">
        <f>SUM('Daily Input'!AE360:AE366)</f>
        <v>0</v>
      </c>
      <c r="D767" s="17">
        <f>SUM('Daily Input'!AF360:AF366)</f>
        <v>0</v>
      </c>
      <c r="E767" s="36">
        <f t="shared" ref="E767:F767" si="668">IF(B767=0,0,C767/B767)</f>
        <v>0</v>
      </c>
      <c r="F767" s="36">
        <f t="shared" si="668"/>
        <v>0</v>
      </c>
    </row>
    <row r="768" ht="15.75" customHeight="1">
      <c r="A768" s="35" t="s">
        <v>11</v>
      </c>
      <c r="B768" s="17">
        <f>SUM('Daily Input'!AG360:AG366)</f>
        <v>0</v>
      </c>
      <c r="C768" s="17">
        <f>SUM('Daily Input'!AH360:AH366)</f>
        <v>0</v>
      </c>
      <c r="D768" s="17">
        <f>SUM('Daily Input'!AI360:AI366)</f>
        <v>0</v>
      </c>
      <c r="E768" s="36">
        <f t="shared" ref="E768:F768" si="669">IF(B768=0,0,C768/B768)</f>
        <v>0</v>
      </c>
      <c r="F768" s="36">
        <f t="shared" si="669"/>
        <v>0</v>
      </c>
    </row>
    <row r="769" ht="15.75" customHeight="1">
      <c r="A769" s="35" t="s">
        <v>12</v>
      </c>
      <c r="B769" s="17">
        <f>SUM('Daily Input'!AJ360:AJ366)</f>
        <v>0</v>
      </c>
      <c r="C769" s="17">
        <f>SUM('Daily Input'!AK360:AK366)</f>
        <v>0</v>
      </c>
      <c r="D769" s="17">
        <f>SUM('Daily Input'!AL360:AL366)</f>
        <v>0</v>
      </c>
      <c r="E769" s="36">
        <f t="shared" ref="E769:F769" si="670">IF(B769=0,0,C769/B769)</f>
        <v>0</v>
      </c>
      <c r="F769" s="36">
        <f t="shared" si="670"/>
        <v>0</v>
      </c>
    </row>
    <row r="770" ht="15.75" customHeight="1">
      <c r="A770" s="37" t="s">
        <v>59</v>
      </c>
      <c r="B770" s="29">
        <f t="shared" ref="B770:D770" si="671">SUM(B758:B769)</f>
        <v>0</v>
      </c>
      <c r="C770" s="29">
        <f t="shared" si="671"/>
        <v>0</v>
      </c>
      <c r="D770" s="29">
        <f t="shared" si="671"/>
        <v>0</v>
      </c>
      <c r="E770" s="30">
        <f t="shared" ref="E770:F770" si="672">IF(B770=0,0,C770/B770)</f>
        <v>0</v>
      </c>
      <c r="F770" s="30">
        <f t="shared" si="672"/>
        <v>0</v>
      </c>
    </row>
    <row r="771" ht="15.75" customHeight="1"/>
    <row r="772" ht="15.75" customHeight="1">
      <c r="A772" s="33" t="s">
        <v>107</v>
      </c>
      <c r="B772" s="4"/>
      <c r="C772" s="4"/>
      <c r="D772" s="4"/>
      <c r="E772" s="4"/>
      <c r="F772" s="4"/>
      <c r="G772" s="4"/>
      <c r="H772" s="5"/>
    </row>
    <row r="773" ht="15.75" customHeight="1">
      <c r="A773" s="34" t="s">
        <v>55</v>
      </c>
      <c r="B773" s="34" t="s">
        <v>16</v>
      </c>
      <c r="C773" s="34" t="s">
        <v>17</v>
      </c>
      <c r="D773" s="34" t="s">
        <v>56</v>
      </c>
      <c r="E773" s="34" t="s">
        <v>57</v>
      </c>
      <c r="F773" s="34" t="s">
        <v>58</v>
      </c>
    </row>
    <row r="774" ht="15.75" customHeight="1">
      <c r="A774" s="35" t="s">
        <v>1</v>
      </c>
      <c r="B774" s="17">
        <f>SUM('Daily Input'!C367:C376)</f>
        <v>0</v>
      </c>
      <c r="C774" s="17">
        <f>SUM('Daily Input'!D367:D376)</f>
        <v>0</v>
      </c>
      <c r="D774" s="17">
        <f>SUM('Daily Input'!E367:E376)</f>
        <v>0</v>
      </c>
      <c r="E774" s="36">
        <f t="shared" ref="E774:F774" si="673">IF(B774=0,0,C774/B774)</f>
        <v>0</v>
      </c>
      <c r="F774" s="36">
        <f t="shared" si="673"/>
        <v>0</v>
      </c>
    </row>
    <row r="775" ht="15.75" customHeight="1">
      <c r="A775" s="35" t="s">
        <v>2</v>
      </c>
      <c r="B775" s="17">
        <f>SUM('Daily Input'!F367:F376)</f>
        <v>0</v>
      </c>
      <c r="C775" s="17">
        <f>SUM('Daily Input'!G367:G376)</f>
        <v>0</v>
      </c>
      <c r="D775" s="17">
        <f>SUM('Daily Input'!H367:H376)</f>
        <v>0</v>
      </c>
      <c r="E775" s="36">
        <f t="shared" ref="E775:F775" si="674">IF(B775=0,0,C775/B775)</f>
        <v>0</v>
      </c>
      <c r="F775" s="36">
        <f t="shared" si="674"/>
        <v>0</v>
      </c>
    </row>
    <row r="776" ht="15.75" customHeight="1">
      <c r="A776" s="35" t="s">
        <v>3</v>
      </c>
      <c r="B776" s="17">
        <f>SUM('Daily Input'!I367:I376)</f>
        <v>0</v>
      </c>
      <c r="C776" s="17">
        <f>SUM('Daily Input'!J367:J376)</f>
        <v>0</v>
      </c>
      <c r="D776" s="17">
        <f>SUM('Daily Input'!K367:K376)</f>
        <v>0</v>
      </c>
      <c r="E776" s="36">
        <f t="shared" ref="E776:F776" si="675">IF(B776=0,0,C776/B776)</f>
        <v>0</v>
      </c>
      <c r="F776" s="36">
        <f t="shared" si="675"/>
        <v>0</v>
      </c>
    </row>
    <row r="777" ht="15.75" customHeight="1">
      <c r="A777" s="35" t="s">
        <v>4</v>
      </c>
      <c r="B777" s="17">
        <f>SUM('Daily Input'!L367:L376)</f>
        <v>0</v>
      </c>
      <c r="C777" s="17">
        <f>SUM('Daily Input'!M367:M376)</f>
        <v>0</v>
      </c>
      <c r="D777" s="17">
        <f>SUM('Daily Input'!N367:N376)</f>
        <v>0</v>
      </c>
      <c r="E777" s="36">
        <f t="shared" ref="E777:F777" si="676">IF(B777=0,0,C777/B777)</f>
        <v>0</v>
      </c>
      <c r="F777" s="36">
        <f t="shared" si="676"/>
        <v>0</v>
      </c>
    </row>
    <row r="778" ht="15.75" customHeight="1">
      <c r="A778" s="35" t="s">
        <v>5</v>
      </c>
      <c r="B778" s="17">
        <f>SUM('Daily Input'!O367:O376)</f>
        <v>0</v>
      </c>
      <c r="C778" s="17">
        <f>SUM('Daily Input'!P367:P376)</f>
        <v>0</v>
      </c>
      <c r="D778" s="17">
        <f>SUM('Daily Input'!Q367:Q376)</f>
        <v>0</v>
      </c>
      <c r="E778" s="36">
        <f t="shared" ref="E778:F778" si="677">IF(B778=0,0,C778/B778)</f>
        <v>0</v>
      </c>
      <c r="F778" s="36">
        <f t="shared" si="677"/>
        <v>0</v>
      </c>
    </row>
    <row r="779" ht="15.75" customHeight="1">
      <c r="A779" s="35" t="s">
        <v>6</v>
      </c>
      <c r="B779" s="17">
        <f>SUM('Daily Input'!R367:R376)</f>
        <v>0</v>
      </c>
      <c r="C779" s="17">
        <f>SUM('Daily Input'!S367:S376)</f>
        <v>0</v>
      </c>
      <c r="D779" s="17">
        <f>SUM('Daily Input'!T367:T376)</f>
        <v>0</v>
      </c>
      <c r="E779" s="36">
        <f t="shared" ref="E779:F779" si="678">IF(B779=0,0,C779/B779)</f>
        <v>0</v>
      </c>
      <c r="F779" s="36">
        <f t="shared" si="678"/>
        <v>0</v>
      </c>
    </row>
    <row r="780" ht="15.75" customHeight="1">
      <c r="A780" s="35" t="s">
        <v>7</v>
      </c>
      <c r="B780" s="17">
        <f>SUM('Daily Input'!U367:U376)</f>
        <v>0</v>
      </c>
      <c r="C780" s="17">
        <f>SUM('Daily Input'!V367:V376)</f>
        <v>0</v>
      </c>
      <c r="D780" s="17">
        <f>SUM('Daily Input'!W367:W376)</f>
        <v>0</v>
      </c>
      <c r="E780" s="36">
        <f t="shared" ref="E780:F780" si="679">IF(B780=0,0,C780/B780)</f>
        <v>0</v>
      </c>
      <c r="F780" s="36">
        <f t="shared" si="679"/>
        <v>0</v>
      </c>
    </row>
    <row r="781" ht="15.75" customHeight="1">
      <c r="A781" s="35" t="s">
        <v>8</v>
      </c>
      <c r="B781" s="17">
        <f>SUM('Daily Input'!X367:X376)</f>
        <v>0</v>
      </c>
      <c r="C781" s="17">
        <f>SUM('Daily Input'!Y367:Y376)</f>
        <v>0</v>
      </c>
      <c r="D781" s="17">
        <f>SUM('Daily Input'!Z367:Z376)</f>
        <v>0</v>
      </c>
      <c r="E781" s="36">
        <f t="shared" ref="E781:F781" si="680">IF(B781=0,0,C781/B781)</f>
        <v>0</v>
      </c>
      <c r="F781" s="36">
        <f t="shared" si="680"/>
        <v>0</v>
      </c>
    </row>
    <row r="782" ht="15.75" customHeight="1">
      <c r="A782" s="35" t="s">
        <v>9</v>
      </c>
      <c r="B782" s="17">
        <f>SUM('Daily Input'!AA367:AA376)</f>
        <v>0</v>
      </c>
      <c r="C782" s="17">
        <f>SUM('Daily Input'!AB367:AB376)</f>
        <v>0</v>
      </c>
      <c r="D782" s="17">
        <f>SUM('Daily Input'!AC367:AC376)</f>
        <v>0</v>
      </c>
      <c r="E782" s="36">
        <f t="shared" ref="E782:F782" si="681">IF(B782=0,0,C782/B782)</f>
        <v>0</v>
      </c>
      <c r="F782" s="36">
        <f t="shared" si="681"/>
        <v>0</v>
      </c>
    </row>
    <row r="783" ht="15.75" customHeight="1">
      <c r="A783" s="35" t="s">
        <v>10</v>
      </c>
      <c r="B783" s="17">
        <f>SUM('Daily Input'!AD367:AD376)</f>
        <v>0</v>
      </c>
      <c r="C783" s="17">
        <f>SUM('Daily Input'!AE367:AE376)</f>
        <v>0</v>
      </c>
      <c r="D783" s="17">
        <f>SUM('Daily Input'!AF367:AF376)</f>
        <v>0</v>
      </c>
      <c r="E783" s="36">
        <f t="shared" ref="E783:F783" si="682">IF(B783=0,0,C783/B783)</f>
        <v>0</v>
      </c>
      <c r="F783" s="36">
        <f t="shared" si="682"/>
        <v>0</v>
      </c>
    </row>
    <row r="784" ht="15.75" customHeight="1">
      <c r="A784" s="35" t="s">
        <v>11</v>
      </c>
      <c r="B784" s="17">
        <f>SUM('Daily Input'!AG367:AG376)</f>
        <v>0</v>
      </c>
      <c r="C784" s="17">
        <f>SUM('Daily Input'!AH367:AH376)</f>
        <v>0</v>
      </c>
      <c r="D784" s="17">
        <f>SUM('Daily Input'!AI367:AI376)</f>
        <v>0</v>
      </c>
      <c r="E784" s="36">
        <f t="shared" ref="E784:F784" si="683">IF(B784=0,0,C784/B784)</f>
        <v>0</v>
      </c>
      <c r="F784" s="36">
        <f t="shared" si="683"/>
        <v>0</v>
      </c>
    </row>
    <row r="785" ht="15.75" customHeight="1">
      <c r="A785" s="35" t="s">
        <v>12</v>
      </c>
      <c r="B785" s="17">
        <f>SUM('Daily Input'!AJ367:AJ376)</f>
        <v>0</v>
      </c>
      <c r="C785" s="17">
        <f>SUM('Daily Input'!AK367:AK376)</f>
        <v>0</v>
      </c>
      <c r="D785" s="17">
        <f>SUM('Daily Input'!AL367:AL376)</f>
        <v>0</v>
      </c>
      <c r="E785" s="36">
        <f t="shared" ref="E785:F785" si="684">IF(B785=0,0,C785/B785)</f>
        <v>0</v>
      </c>
      <c r="F785" s="36">
        <f t="shared" si="684"/>
        <v>0</v>
      </c>
    </row>
    <row r="786" ht="15.75" customHeight="1">
      <c r="A786" s="37" t="s">
        <v>59</v>
      </c>
      <c r="B786" s="29">
        <f t="shared" ref="B786:D786" si="685">SUM(B774:B785)</f>
        <v>0</v>
      </c>
      <c r="C786" s="29">
        <f t="shared" si="685"/>
        <v>0</v>
      </c>
      <c r="D786" s="29">
        <f t="shared" si="685"/>
        <v>0</v>
      </c>
      <c r="E786" s="30">
        <f t="shared" ref="E786:F786" si="686">IF(B786=0,0,C786/B786)</f>
        <v>0</v>
      </c>
      <c r="F786" s="30">
        <f t="shared" si="686"/>
        <v>0</v>
      </c>
    </row>
    <row r="787" ht="15.75" customHeight="1"/>
    <row r="788" ht="15.75" customHeight="1">
      <c r="A788" s="33" t="s">
        <v>108</v>
      </c>
      <c r="B788" s="4"/>
      <c r="C788" s="4"/>
      <c r="D788" s="4"/>
      <c r="E788" s="4"/>
      <c r="F788" s="4"/>
      <c r="G788" s="4"/>
      <c r="H788" s="5"/>
    </row>
    <row r="789" ht="15.75" customHeight="1">
      <c r="A789" s="34" t="s">
        <v>55</v>
      </c>
      <c r="B789" s="34" t="s">
        <v>16</v>
      </c>
      <c r="C789" s="34" t="s">
        <v>17</v>
      </c>
      <c r="D789" s="34" t="s">
        <v>56</v>
      </c>
      <c r="E789" s="34" t="s">
        <v>57</v>
      </c>
      <c r="F789" s="34" t="s">
        <v>58</v>
      </c>
    </row>
    <row r="790" ht="15.75" customHeight="1">
      <c r="A790" s="35" t="s">
        <v>1</v>
      </c>
      <c r="B790" s="17">
        <f>SUM('Daily Input'!C377:C383)</f>
        <v>0</v>
      </c>
      <c r="C790" s="17">
        <f>SUM('Daily Input'!D377:D383)</f>
        <v>0</v>
      </c>
      <c r="D790" s="17">
        <f>SUM('Daily Input'!E377:E383)</f>
        <v>0</v>
      </c>
      <c r="E790" s="36">
        <f t="shared" ref="E790:F790" si="687">IF(B790=0,0,C790/B790)</f>
        <v>0</v>
      </c>
      <c r="F790" s="36">
        <f t="shared" si="687"/>
        <v>0</v>
      </c>
    </row>
    <row r="791" ht="15.75" customHeight="1">
      <c r="A791" s="35" t="s">
        <v>2</v>
      </c>
      <c r="B791" s="17">
        <f>SUM('Daily Input'!F377:F383)</f>
        <v>0</v>
      </c>
      <c r="C791" s="17">
        <f>SUM('Daily Input'!G377:G383)</f>
        <v>0</v>
      </c>
      <c r="D791" s="17">
        <f>SUM('Daily Input'!H377:H383)</f>
        <v>0</v>
      </c>
      <c r="E791" s="36">
        <f t="shared" ref="E791:F791" si="688">IF(B791=0,0,C791/B791)</f>
        <v>0</v>
      </c>
      <c r="F791" s="36">
        <f t="shared" si="688"/>
        <v>0</v>
      </c>
    </row>
    <row r="792" ht="15.75" customHeight="1">
      <c r="A792" s="35" t="s">
        <v>3</v>
      </c>
      <c r="B792" s="17">
        <f>SUM('Daily Input'!I377:I383)</f>
        <v>0</v>
      </c>
      <c r="C792" s="17">
        <f>SUM('Daily Input'!J377:J383)</f>
        <v>0</v>
      </c>
      <c r="D792" s="17">
        <f>SUM('Daily Input'!K377:K383)</f>
        <v>0</v>
      </c>
      <c r="E792" s="36">
        <f t="shared" ref="E792:F792" si="689">IF(B792=0,0,C792/B792)</f>
        <v>0</v>
      </c>
      <c r="F792" s="36">
        <f t="shared" si="689"/>
        <v>0</v>
      </c>
    </row>
    <row r="793" ht="15.75" customHeight="1">
      <c r="A793" s="35" t="s">
        <v>4</v>
      </c>
      <c r="B793" s="17">
        <f>SUM('Daily Input'!L377:L383)</f>
        <v>0</v>
      </c>
      <c r="C793" s="17">
        <f>SUM('Daily Input'!M377:M383)</f>
        <v>0</v>
      </c>
      <c r="D793" s="17">
        <f>SUM('Daily Input'!N377:N383)</f>
        <v>0</v>
      </c>
      <c r="E793" s="36">
        <f t="shared" ref="E793:F793" si="690">IF(B793=0,0,C793/B793)</f>
        <v>0</v>
      </c>
      <c r="F793" s="36">
        <f t="shared" si="690"/>
        <v>0</v>
      </c>
    </row>
    <row r="794" ht="15.75" customHeight="1">
      <c r="A794" s="35" t="s">
        <v>5</v>
      </c>
      <c r="B794" s="17">
        <f>SUM('Daily Input'!O377:O383)</f>
        <v>0</v>
      </c>
      <c r="C794" s="17">
        <f>SUM('Daily Input'!P377:P383)</f>
        <v>0</v>
      </c>
      <c r="D794" s="17">
        <f>SUM('Daily Input'!Q377:Q383)</f>
        <v>0</v>
      </c>
      <c r="E794" s="36">
        <f t="shared" ref="E794:F794" si="691">IF(B794=0,0,C794/B794)</f>
        <v>0</v>
      </c>
      <c r="F794" s="36">
        <f t="shared" si="691"/>
        <v>0</v>
      </c>
    </row>
    <row r="795" ht="15.75" customHeight="1">
      <c r="A795" s="35" t="s">
        <v>6</v>
      </c>
      <c r="B795" s="17">
        <f>SUM('Daily Input'!R377:R383)</f>
        <v>0</v>
      </c>
      <c r="C795" s="17">
        <f>SUM('Daily Input'!S377:S383)</f>
        <v>0</v>
      </c>
      <c r="D795" s="17">
        <f>SUM('Daily Input'!T377:T383)</f>
        <v>0</v>
      </c>
      <c r="E795" s="36">
        <f t="shared" ref="E795:F795" si="692">IF(B795=0,0,C795/B795)</f>
        <v>0</v>
      </c>
      <c r="F795" s="36">
        <f t="shared" si="692"/>
        <v>0</v>
      </c>
    </row>
    <row r="796" ht="15.75" customHeight="1">
      <c r="A796" s="35" t="s">
        <v>7</v>
      </c>
      <c r="B796" s="17">
        <f>SUM('Daily Input'!U377:U383)</f>
        <v>0</v>
      </c>
      <c r="C796" s="17">
        <f>SUM('Daily Input'!V377:V383)</f>
        <v>0</v>
      </c>
      <c r="D796" s="17">
        <f>SUM('Daily Input'!W377:W383)</f>
        <v>0</v>
      </c>
      <c r="E796" s="36">
        <f t="shared" ref="E796:F796" si="693">IF(B796=0,0,C796/B796)</f>
        <v>0</v>
      </c>
      <c r="F796" s="36">
        <f t="shared" si="693"/>
        <v>0</v>
      </c>
    </row>
    <row r="797" ht="15.75" customHeight="1">
      <c r="A797" s="35" t="s">
        <v>8</v>
      </c>
      <c r="B797" s="17">
        <f>SUM('Daily Input'!X377:X383)</f>
        <v>0</v>
      </c>
      <c r="C797" s="17">
        <f>SUM('Daily Input'!Y377:Y383)</f>
        <v>0</v>
      </c>
      <c r="D797" s="17">
        <f>SUM('Daily Input'!Z377:Z383)</f>
        <v>0</v>
      </c>
      <c r="E797" s="36">
        <f t="shared" ref="E797:F797" si="694">IF(B797=0,0,C797/B797)</f>
        <v>0</v>
      </c>
      <c r="F797" s="36">
        <f t="shared" si="694"/>
        <v>0</v>
      </c>
    </row>
    <row r="798" ht="15.75" customHeight="1">
      <c r="A798" s="35" t="s">
        <v>9</v>
      </c>
      <c r="B798" s="17">
        <f>SUM('Daily Input'!AA377:AA383)</f>
        <v>0</v>
      </c>
      <c r="C798" s="17">
        <f>SUM('Daily Input'!AB377:AB383)</f>
        <v>0</v>
      </c>
      <c r="D798" s="17">
        <f>SUM('Daily Input'!AC377:AC383)</f>
        <v>0</v>
      </c>
      <c r="E798" s="36">
        <f t="shared" ref="E798:F798" si="695">IF(B798=0,0,C798/B798)</f>
        <v>0</v>
      </c>
      <c r="F798" s="36">
        <f t="shared" si="695"/>
        <v>0</v>
      </c>
    </row>
    <row r="799" ht="15.75" customHeight="1">
      <c r="A799" s="35" t="s">
        <v>10</v>
      </c>
      <c r="B799" s="17">
        <f>SUM('Daily Input'!AD377:AD383)</f>
        <v>0</v>
      </c>
      <c r="C799" s="17">
        <f>SUM('Daily Input'!AE377:AE383)</f>
        <v>0</v>
      </c>
      <c r="D799" s="17">
        <f>SUM('Daily Input'!AF377:AF383)</f>
        <v>0</v>
      </c>
      <c r="E799" s="36">
        <f t="shared" ref="E799:F799" si="696">IF(B799=0,0,C799/B799)</f>
        <v>0</v>
      </c>
      <c r="F799" s="36">
        <f t="shared" si="696"/>
        <v>0</v>
      </c>
    </row>
    <row r="800" ht="15.75" customHeight="1">
      <c r="A800" s="35" t="s">
        <v>11</v>
      </c>
      <c r="B800" s="17">
        <f>SUM('Daily Input'!AG377:AG383)</f>
        <v>0</v>
      </c>
      <c r="C800" s="17">
        <f>SUM('Daily Input'!AH377:AH383)</f>
        <v>0</v>
      </c>
      <c r="D800" s="17">
        <f>SUM('Daily Input'!AI377:AI383)</f>
        <v>0</v>
      </c>
      <c r="E800" s="36">
        <f t="shared" ref="E800:F800" si="697">IF(B800=0,0,C800/B800)</f>
        <v>0</v>
      </c>
      <c r="F800" s="36">
        <f t="shared" si="697"/>
        <v>0</v>
      </c>
    </row>
    <row r="801" ht="15.75" customHeight="1">
      <c r="A801" s="35" t="s">
        <v>12</v>
      </c>
      <c r="B801" s="17">
        <f>SUM('Daily Input'!AJ377:AJ383)</f>
        <v>0</v>
      </c>
      <c r="C801" s="17">
        <f>SUM('Daily Input'!AK377:AK383)</f>
        <v>0</v>
      </c>
      <c r="D801" s="17">
        <f>SUM('Daily Input'!AL377:AL383)</f>
        <v>0</v>
      </c>
      <c r="E801" s="36">
        <f t="shared" ref="E801:F801" si="698">IF(B801=0,0,C801/B801)</f>
        <v>0</v>
      </c>
      <c r="F801" s="36">
        <f t="shared" si="698"/>
        <v>0</v>
      </c>
    </row>
    <row r="802" ht="15.75" customHeight="1">
      <c r="A802" s="37" t="s">
        <v>59</v>
      </c>
      <c r="B802" s="29">
        <f t="shared" ref="B802:D802" si="699">SUM(B790:B801)</f>
        <v>0</v>
      </c>
      <c r="C802" s="29">
        <f t="shared" si="699"/>
        <v>0</v>
      </c>
      <c r="D802" s="29">
        <f t="shared" si="699"/>
        <v>0</v>
      </c>
      <c r="E802" s="30">
        <f t="shared" ref="E802:F802" si="700">IF(B802=0,0,C802/B802)</f>
        <v>0</v>
      </c>
      <c r="F802" s="30">
        <f t="shared" si="700"/>
        <v>0</v>
      </c>
    </row>
    <row r="803" ht="15.75" customHeight="1"/>
    <row r="804" ht="15.75" customHeight="1">
      <c r="A804" s="33" t="s">
        <v>109</v>
      </c>
      <c r="B804" s="4"/>
      <c r="C804" s="4"/>
      <c r="D804" s="4"/>
      <c r="E804" s="4"/>
      <c r="F804" s="4"/>
      <c r="G804" s="4"/>
      <c r="H804" s="5"/>
    </row>
    <row r="805" ht="15.75" customHeight="1">
      <c r="A805" s="34" t="s">
        <v>55</v>
      </c>
      <c r="B805" s="34" t="s">
        <v>16</v>
      </c>
      <c r="C805" s="34" t="s">
        <v>17</v>
      </c>
      <c r="D805" s="34" t="s">
        <v>56</v>
      </c>
      <c r="E805" s="34" t="s">
        <v>57</v>
      </c>
      <c r="F805" s="34" t="s">
        <v>58</v>
      </c>
    </row>
    <row r="806" ht="15.75" customHeight="1">
      <c r="A806" s="35" t="s">
        <v>1</v>
      </c>
      <c r="B806" s="17">
        <f>SUM('Daily Input'!C384:C390)</f>
        <v>0</v>
      </c>
      <c r="C806" s="17">
        <f>SUM('Daily Input'!D384:D390)</f>
        <v>0</v>
      </c>
      <c r="D806" s="17">
        <f>SUM('Daily Input'!E384:E390)</f>
        <v>0</v>
      </c>
      <c r="E806" s="36">
        <f t="shared" ref="E806:F806" si="701">IF(B806=0,0,C806/B806)</f>
        <v>0</v>
      </c>
      <c r="F806" s="36">
        <f t="shared" si="701"/>
        <v>0</v>
      </c>
    </row>
    <row r="807" ht="15.75" customHeight="1">
      <c r="A807" s="35" t="s">
        <v>2</v>
      </c>
      <c r="B807" s="17">
        <f>SUM('Daily Input'!F384:F390)</f>
        <v>0</v>
      </c>
      <c r="C807" s="17">
        <f>SUM('Daily Input'!G384:G390)</f>
        <v>0</v>
      </c>
      <c r="D807" s="17">
        <f>SUM('Daily Input'!H384:H390)</f>
        <v>0</v>
      </c>
      <c r="E807" s="36">
        <f t="shared" ref="E807:F807" si="702">IF(B807=0,0,C807/B807)</f>
        <v>0</v>
      </c>
      <c r="F807" s="36">
        <f t="shared" si="702"/>
        <v>0</v>
      </c>
    </row>
    <row r="808" ht="15.75" customHeight="1">
      <c r="A808" s="35" t="s">
        <v>3</v>
      </c>
      <c r="B808" s="17">
        <f>SUM('Daily Input'!I384:I390)</f>
        <v>0</v>
      </c>
      <c r="C808" s="17">
        <f>SUM('Daily Input'!J384:J390)</f>
        <v>0</v>
      </c>
      <c r="D808" s="17">
        <f>SUM('Daily Input'!K384:K390)</f>
        <v>0</v>
      </c>
      <c r="E808" s="36">
        <f t="shared" ref="E808:F808" si="703">IF(B808=0,0,C808/B808)</f>
        <v>0</v>
      </c>
      <c r="F808" s="36">
        <f t="shared" si="703"/>
        <v>0</v>
      </c>
    </row>
    <row r="809" ht="15.75" customHeight="1">
      <c r="A809" s="35" t="s">
        <v>4</v>
      </c>
      <c r="B809" s="17">
        <f>SUM('Daily Input'!L384:L390)</f>
        <v>0</v>
      </c>
      <c r="C809" s="17">
        <f>SUM('Daily Input'!M384:M390)</f>
        <v>0</v>
      </c>
      <c r="D809" s="17">
        <f>SUM('Daily Input'!N384:N390)</f>
        <v>0</v>
      </c>
      <c r="E809" s="36">
        <f t="shared" ref="E809:F809" si="704">IF(B809=0,0,C809/B809)</f>
        <v>0</v>
      </c>
      <c r="F809" s="36">
        <f t="shared" si="704"/>
        <v>0</v>
      </c>
    </row>
    <row r="810" ht="15.75" customHeight="1">
      <c r="A810" s="35" t="s">
        <v>5</v>
      </c>
      <c r="B810" s="17">
        <f>SUM('Daily Input'!O384:O390)</f>
        <v>0</v>
      </c>
      <c r="C810" s="17">
        <f>SUM('Daily Input'!P384:P390)</f>
        <v>0</v>
      </c>
      <c r="D810" s="17">
        <f>SUM('Daily Input'!Q384:Q390)</f>
        <v>0</v>
      </c>
      <c r="E810" s="36">
        <f t="shared" ref="E810:F810" si="705">IF(B810=0,0,C810/B810)</f>
        <v>0</v>
      </c>
      <c r="F810" s="36">
        <f t="shared" si="705"/>
        <v>0</v>
      </c>
    </row>
    <row r="811" ht="15.75" customHeight="1">
      <c r="A811" s="35" t="s">
        <v>6</v>
      </c>
      <c r="B811" s="17">
        <f>SUM('Daily Input'!R384:R390)</f>
        <v>0</v>
      </c>
      <c r="C811" s="17">
        <f>SUM('Daily Input'!S384:S390)</f>
        <v>0</v>
      </c>
      <c r="D811" s="17">
        <f>SUM('Daily Input'!T384:T390)</f>
        <v>0</v>
      </c>
      <c r="E811" s="36">
        <f t="shared" ref="E811:F811" si="706">IF(B811=0,0,C811/B811)</f>
        <v>0</v>
      </c>
      <c r="F811" s="36">
        <f t="shared" si="706"/>
        <v>0</v>
      </c>
    </row>
    <row r="812" ht="15.75" customHeight="1">
      <c r="A812" s="35" t="s">
        <v>7</v>
      </c>
      <c r="B812" s="17">
        <f>SUM('Daily Input'!U384:U390)</f>
        <v>0</v>
      </c>
      <c r="C812" s="17">
        <f>SUM('Daily Input'!V384:V390)</f>
        <v>0</v>
      </c>
      <c r="D812" s="17">
        <f>SUM('Daily Input'!W384:W390)</f>
        <v>0</v>
      </c>
      <c r="E812" s="36">
        <f t="shared" ref="E812:F812" si="707">IF(B812=0,0,C812/B812)</f>
        <v>0</v>
      </c>
      <c r="F812" s="36">
        <f t="shared" si="707"/>
        <v>0</v>
      </c>
    </row>
    <row r="813" ht="15.75" customHeight="1">
      <c r="A813" s="35" t="s">
        <v>8</v>
      </c>
      <c r="B813" s="17">
        <f>SUM('Daily Input'!X384:X390)</f>
        <v>0</v>
      </c>
      <c r="C813" s="17">
        <f>SUM('Daily Input'!Y384:Y390)</f>
        <v>0</v>
      </c>
      <c r="D813" s="17">
        <f>SUM('Daily Input'!Z384:Z390)</f>
        <v>0</v>
      </c>
      <c r="E813" s="36">
        <f t="shared" ref="E813:F813" si="708">IF(B813=0,0,C813/B813)</f>
        <v>0</v>
      </c>
      <c r="F813" s="36">
        <f t="shared" si="708"/>
        <v>0</v>
      </c>
    </row>
    <row r="814" ht="15.75" customHeight="1">
      <c r="A814" s="35" t="s">
        <v>9</v>
      </c>
      <c r="B814" s="17">
        <f>SUM('Daily Input'!AA384:AA390)</f>
        <v>0</v>
      </c>
      <c r="C814" s="17">
        <f>SUM('Daily Input'!AB384:AB390)</f>
        <v>0</v>
      </c>
      <c r="D814" s="17">
        <f>SUM('Daily Input'!AC384:AC390)</f>
        <v>0</v>
      </c>
      <c r="E814" s="36">
        <f t="shared" ref="E814:F814" si="709">IF(B814=0,0,C814/B814)</f>
        <v>0</v>
      </c>
      <c r="F814" s="36">
        <f t="shared" si="709"/>
        <v>0</v>
      </c>
    </row>
    <row r="815" ht="15.75" customHeight="1">
      <c r="A815" s="35" t="s">
        <v>10</v>
      </c>
      <c r="B815" s="17">
        <f>SUM('Daily Input'!AD384:AD390)</f>
        <v>0</v>
      </c>
      <c r="C815" s="17">
        <f>SUM('Daily Input'!AE384:AE390)</f>
        <v>0</v>
      </c>
      <c r="D815" s="17">
        <f>SUM('Daily Input'!AF384:AF390)</f>
        <v>0</v>
      </c>
      <c r="E815" s="36">
        <f t="shared" ref="E815:F815" si="710">IF(B815=0,0,C815/B815)</f>
        <v>0</v>
      </c>
      <c r="F815" s="36">
        <f t="shared" si="710"/>
        <v>0</v>
      </c>
    </row>
    <row r="816" ht="15.75" customHeight="1">
      <c r="A816" s="35" t="s">
        <v>11</v>
      </c>
      <c r="B816" s="17">
        <f>SUM('Daily Input'!AG384:AG390)</f>
        <v>0</v>
      </c>
      <c r="C816" s="17">
        <f>SUM('Daily Input'!AH384:AH390)</f>
        <v>0</v>
      </c>
      <c r="D816" s="17">
        <f>SUM('Daily Input'!AI384:AI390)</f>
        <v>0</v>
      </c>
      <c r="E816" s="36">
        <f t="shared" ref="E816:F816" si="711">IF(B816=0,0,C816/B816)</f>
        <v>0</v>
      </c>
      <c r="F816" s="36">
        <f t="shared" si="711"/>
        <v>0</v>
      </c>
    </row>
    <row r="817" ht="15.75" customHeight="1">
      <c r="A817" s="35" t="s">
        <v>12</v>
      </c>
      <c r="B817" s="17">
        <f>SUM('Daily Input'!AJ384:AJ390)</f>
        <v>0</v>
      </c>
      <c r="C817" s="17">
        <f>SUM('Daily Input'!AK384:AK390)</f>
        <v>0</v>
      </c>
      <c r="D817" s="17">
        <f>SUM('Daily Input'!AL384:AL390)</f>
        <v>0</v>
      </c>
      <c r="E817" s="36">
        <f t="shared" ref="E817:F817" si="712">IF(B817=0,0,C817/B817)</f>
        <v>0</v>
      </c>
      <c r="F817" s="36">
        <f t="shared" si="712"/>
        <v>0</v>
      </c>
    </row>
    <row r="818" ht="15.75" customHeight="1">
      <c r="A818" s="37" t="s">
        <v>59</v>
      </c>
      <c r="B818" s="29">
        <f t="shared" ref="B818:D818" si="713">SUM(B806:B817)</f>
        <v>0</v>
      </c>
      <c r="C818" s="29">
        <f t="shared" si="713"/>
        <v>0</v>
      </c>
      <c r="D818" s="29">
        <f t="shared" si="713"/>
        <v>0</v>
      </c>
      <c r="E818" s="30">
        <f t="shared" ref="E818:F818" si="714">IF(B818=0,0,C818/B818)</f>
        <v>0</v>
      </c>
      <c r="F818" s="30">
        <f t="shared" si="714"/>
        <v>0</v>
      </c>
    </row>
    <row r="819" ht="15.75" customHeight="1"/>
    <row r="820" ht="15.75" customHeight="1">
      <c r="A820" s="33" t="s">
        <v>110</v>
      </c>
      <c r="B820" s="4"/>
      <c r="C820" s="4"/>
      <c r="D820" s="4"/>
      <c r="E820" s="4"/>
      <c r="F820" s="4"/>
      <c r="G820" s="4"/>
      <c r="H820" s="5"/>
    </row>
    <row r="821" ht="15.75" customHeight="1">
      <c r="A821" s="34" t="s">
        <v>55</v>
      </c>
      <c r="B821" s="34" t="s">
        <v>16</v>
      </c>
      <c r="C821" s="34" t="s">
        <v>17</v>
      </c>
      <c r="D821" s="34" t="s">
        <v>56</v>
      </c>
      <c r="E821" s="34" t="s">
        <v>57</v>
      </c>
      <c r="F821" s="34" t="s">
        <v>58</v>
      </c>
    </row>
    <row r="822" ht="15.75" customHeight="1">
      <c r="A822" s="35" t="s">
        <v>1</v>
      </c>
      <c r="B822" s="17">
        <f>SUM('Daily Input'!C391:C397)</f>
        <v>0</v>
      </c>
      <c r="C822" s="17">
        <f>SUM('Daily Input'!D391:D397)</f>
        <v>0</v>
      </c>
      <c r="D822" s="17">
        <f>SUM('Daily Input'!E391:E397)</f>
        <v>0</v>
      </c>
      <c r="E822" s="36">
        <f t="shared" ref="E822:F822" si="715">IF(B822=0,0,C822/B822)</f>
        <v>0</v>
      </c>
      <c r="F822" s="36">
        <f t="shared" si="715"/>
        <v>0</v>
      </c>
    </row>
    <row r="823" ht="15.75" customHeight="1">
      <c r="A823" s="35" t="s">
        <v>2</v>
      </c>
      <c r="B823" s="17">
        <f>SUM('Daily Input'!F391:F397)</f>
        <v>0</v>
      </c>
      <c r="C823" s="17">
        <f>SUM('Daily Input'!G391:G397)</f>
        <v>0</v>
      </c>
      <c r="D823" s="17">
        <f>SUM('Daily Input'!H391:H397)</f>
        <v>0</v>
      </c>
      <c r="E823" s="36">
        <f t="shared" ref="E823:F823" si="716">IF(B823=0,0,C823/B823)</f>
        <v>0</v>
      </c>
      <c r="F823" s="36">
        <f t="shared" si="716"/>
        <v>0</v>
      </c>
    </row>
    <row r="824" ht="15.75" customHeight="1">
      <c r="A824" s="35" t="s">
        <v>3</v>
      </c>
      <c r="B824" s="17">
        <f>SUM('Daily Input'!I391:I397)</f>
        <v>0</v>
      </c>
      <c r="C824" s="17">
        <f>SUM('Daily Input'!J391:J397)</f>
        <v>0</v>
      </c>
      <c r="D824" s="17">
        <f>SUM('Daily Input'!K391:K397)</f>
        <v>0</v>
      </c>
      <c r="E824" s="36">
        <f t="shared" ref="E824:F824" si="717">IF(B824=0,0,C824/B824)</f>
        <v>0</v>
      </c>
      <c r="F824" s="36">
        <f t="shared" si="717"/>
        <v>0</v>
      </c>
    </row>
    <row r="825" ht="15.75" customHeight="1">
      <c r="A825" s="35" t="s">
        <v>4</v>
      </c>
      <c r="B825" s="17">
        <f>SUM('Daily Input'!L391:L397)</f>
        <v>0</v>
      </c>
      <c r="C825" s="17">
        <f>SUM('Daily Input'!M391:M397)</f>
        <v>0</v>
      </c>
      <c r="D825" s="17">
        <f>SUM('Daily Input'!N391:N397)</f>
        <v>0</v>
      </c>
      <c r="E825" s="36">
        <f t="shared" ref="E825:F825" si="718">IF(B825=0,0,C825/B825)</f>
        <v>0</v>
      </c>
      <c r="F825" s="36">
        <f t="shared" si="718"/>
        <v>0</v>
      </c>
    </row>
    <row r="826" ht="15.75" customHeight="1">
      <c r="A826" s="35" t="s">
        <v>5</v>
      </c>
      <c r="B826" s="17">
        <f>SUM('Daily Input'!O391:O397)</f>
        <v>0</v>
      </c>
      <c r="C826" s="17">
        <f>SUM('Daily Input'!P391:P397)</f>
        <v>0</v>
      </c>
      <c r="D826" s="17">
        <f>SUM('Daily Input'!Q391:Q397)</f>
        <v>0</v>
      </c>
      <c r="E826" s="36">
        <f t="shared" ref="E826:F826" si="719">IF(B826=0,0,C826/B826)</f>
        <v>0</v>
      </c>
      <c r="F826" s="36">
        <f t="shared" si="719"/>
        <v>0</v>
      </c>
    </row>
    <row r="827" ht="15.75" customHeight="1">
      <c r="A827" s="35" t="s">
        <v>6</v>
      </c>
      <c r="B827" s="17">
        <f>SUM('Daily Input'!R391:R397)</f>
        <v>0</v>
      </c>
      <c r="C827" s="17">
        <f>SUM('Daily Input'!S391:S397)</f>
        <v>0</v>
      </c>
      <c r="D827" s="17">
        <f>SUM('Daily Input'!T391:T397)</f>
        <v>0</v>
      </c>
      <c r="E827" s="36">
        <f t="shared" ref="E827:F827" si="720">IF(B827=0,0,C827/B827)</f>
        <v>0</v>
      </c>
      <c r="F827" s="36">
        <f t="shared" si="720"/>
        <v>0</v>
      </c>
    </row>
    <row r="828" ht="15.75" customHeight="1">
      <c r="A828" s="35" t="s">
        <v>7</v>
      </c>
      <c r="B828" s="17">
        <f>SUM('Daily Input'!U391:U397)</f>
        <v>0</v>
      </c>
      <c r="C828" s="17">
        <f>SUM('Daily Input'!V391:V397)</f>
        <v>0</v>
      </c>
      <c r="D828" s="17">
        <f>SUM('Daily Input'!W391:W397)</f>
        <v>0</v>
      </c>
      <c r="E828" s="36">
        <f t="shared" ref="E828:F828" si="721">IF(B828=0,0,C828/B828)</f>
        <v>0</v>
      </c>
      <c r="F828" s="36">
        <f t="shared" si="721"/>
        <v>0</v>
      </c>
    </row>
    <row r="829" ht="15.75" customHeight="1">
      <c r="A829" s="35" t="s">
        <v>8</v>
      </c>
      <c r="B829" s="17">
        <f>SUM('Daily Input'!X391:X397)</f>
        <v>0</v>
      </c>
      <c r="C829" s="17">
        <f>SUM('Daily Input'!Y391:Y397)</f>
        <v>0</v>
      </c>
      <c r="D829" s="17">
        <f>SUM('Daily Input'!Z391:Z397)</f>
        <v>0</v>
      </c>
      <c r="E829" s="36">
        <f t="shared" ref="E829:F829" si="722">IF(B829=0,0,C829/B829)</f>
        <v>0</v>
      </c>
      <c r="F829" s="36">
        <f t="shared" si="722"/>
        <v>0</v>
      </c>
    </row>
    <row r="830" ht="15.75" customHeight="1">
      <c r="A830" s="35" t="s">
        <v>9</v>
      </c>
      <c r="B830" s="17">
        <f>SUM('Daily Input'!AA391:AA397)</f>
        <v>0</v>
      </c>
      <c r="C830" s="17">
        <f>SUM('Daily Input'!AB391:AB397)</f>
        <v>0</v>
      </c>
      <c r="D830" s="17">
        <f>SUM('Daily Input'!AC391:AC397)</f>
        <v>0</v>
      </c>
      <c r="E830" s="36">
        <f t="shared" ref="E830:F830" si="723">IF(B830=0,0,C830/B830)</f>
        <v>0</v>
      </c>
      <c r="F830" s="36">
        <f t="shared" si="723"/>
        <v>0</v>
      </c>
    </row>
    <row r="831" ht="15.75" customHeight="1">
      <c r="A831" s="35" t="s">
        <v>10</v>
      </c>
      <c r="B831" s="17">
        <f>SUM('Daily Input'!AD391:AD397)</f>
        <v>0</v>
      </c>
      <c r="C831" s="17">
        <f>SUM('Daily Input'!AE391:AE397)</f>
        <v>0</v>
      </c>
      <c r="D831" s="17">
        <f>SUM('Daily Input'!AF391:AF397)</f>
        <v>0</v>
      </c>
      <c r="E831" s="36">
        <f t="shared" ref="E831:F831" si="724">IF(B831=0,0,C831/B831)</f>
        <v>0</v>
      </c>
      <c r="F831" s="36">
        <f t="shared" si="724"/>
        <v>0</v>
      </c>
    </row>
    <row r="832" ht="15.75" customHeight="1">
      <c r="A832" s="35" t="s">
        <v>11</v>
      </c>
      <c r="B832" s="17">
        <f>SUM('Daily Input'!AG391:AG397)</f>
        <v>0</v>
      </c>
      <c r="C832" s="17">
        <f>SUM('Daily Input'!AH391:AH397)</f>
        <v>0</v>
      </c>
      <c r="D832" s="17">
        <f>SUM('Daily Input'!AI391:AI397)</f>
        <v>0</v>
      </c>
      <c r="E832" s="36">
        <f t="shared" ref="E832:F832" si="725">IF(B832=0,0,C832/B832)</f>
        <v>0</v>
      </c>
      <c r="F832" s="36">
        <f t="shared" si="725"/>
        <v>0</v>
      </c>
    </row>
    <row r="833" ht="15.75" customHeight="1">
      <c r="A833" s="35" t="s">
        <v>12</v>
      </c>
      <c r="B833" s="17">
        <f>SUM('Daily Input'!AJ391:AJ397)</f>
        <v>0</v>
      </c>
      <c r="C833" s="17">
        <f>SUM('Daily Input'!AK391:AK397)</f>
        <v>0</v>
      </c>
      <c r="D833" s="17">
        <f>SUM('Daily Input'!AL391:AL397)</f>
        <v>0</v>
      </c>
      <c r="E833" s="36">
        <f t="shared" ref="E833:F833" si="726">IF(B833=0,0,C833/B833)</f>
        <v>0</v>
      </c>
      <c r="F833" s="36">
        <f t="shared" si="726"/>
        <v>0</v>
      </c>
    </row>
    <row r="834" ht="15.75" customHeight="1">
      <c r="A834" s="37" t="s">
        <v>59</v>
      </c>
      <c r="B834" s="29">
        <f t="shared" ref="B834:D834" si="727">SUM(B822:B833)</f>
        <v>0</v>
      </c>
      <c r="C834" s="29">
        <f t="shared" si="727"/>
        <v>0</v>
      </c>
      <c r="D834" s="29">
        <f t="shared" si="727"/>
        <v>0</v>
      </c>
      <c r="E834" s="30">
        <f t="shared" ref="E834:F834" si="728">IF(B834=0,0,C834/B834)</f>
        <v>0</v>
      </c>
      <c r="F834" s="30">
        <f t="shared" si="728"/>
        <v>0</v>
      </c>
    </row>
    <row r="835" ht="15.75" customHeight="1"/>
    <row r="836" ht="15.75" customHeight="1">
      <c r="A836" s="33" t="s">
        <v>111</v>
      </c>
      <c r="B836" s="4"/>
      <c r="C836" s="4"/>
      <c r="D836" s="4"/>
      <c r="E836" s="4"/>
      <c r="F836" s="4"/>
      <c r="G836" s="4"/>
      <c r="H836" s="5"/>
    </row>
    <row r="837" ht="15.75" customHeight="1">
      <c r="A837" s="34" t="s">
        <v>55</v>
      </c>
      <c r="B837" s="34" t="s">
        <v>16</v>
      </c>
      <c r="C837" s="34" t="s">
        <v>17</v>
      </c>
      <c r="D837" s="34" t="s">
        <v>56</v>
      </c>
      <c r="E837" s="34" t="s">
        <v>57</v>
      </c>
      <c r="F837" s="34" t="s">
        <v>58</v>
      </c>
    </row>
    <row r="838" ht="15.75" customHeight="1">
      <c r="A838" s="35" t="s">
        <v>1</v>
      </c>
      <c r="B838" s="17">
        <f>SUM('Daily Input'!C398:C401)</f>
        <v>0</v>
      </c>
      <c r="C838" s="17">
        <f>SUM('Daily Input'!D398:D401)</f>
        <v>0</v>
      </c>
      <c r="D838" s="17">
        <f>SUM('Daily Input'!E398:E401)</f>
        <v>0</v>
      </c>
      <c r="E838" s="36">
        <f t="shared" ref="E838:F838" si="729">IF(B838=0,0,C838/B838)</f>
        <v>0</v>
      </c>
      <c r="F838" s="36">
        <f t="shared" si="729"/>
        <v>0</v>
      </c>
    </row>
    <row r="839" ht="15.75" customHeight="1">
      <c r="A839" s="35" t="s">
        <v>2</v>
      </c>
      <c r="B839" s="17">
        <f>SUM('Daily Input'!F398:F401)</f>
        <v>0</v>
      </c>
      <c r="C839" s="17">
        <f>SUM('Daily Input'!G398:G401)</f>
        <v>0</v>
      </c>
      <c r="D839" s="17">
        <f>SUM('Daily Input'!H398:H401)</f>
        <v>0</v>
      </c>
      <c r="E839" s="36">
        <f t="shared" ref="E839:F839" si="730">IF(B839=0,0,C839/B839)</f>
        <v>0</v>
      </c>
      <c r="F839" s="36">
        <f t="shared" si="730"/>
        <v>0</v>
      </c>
    </row>
    <row r="840" ht="15.75" customHeight="1">
      <c r="A840" s="35" t="s">
        <v>3</v>
      </c>
      <c r="B840" s="17">
        <f>SUM('Daily Input'!I398:I401)</f>
        <v>0</v>
      </c>
      <c r="C840" s="17">
        <f>SUM('Daily Input'!J398:J401)</f>
        <v>0</v>
      </c>
      <c r="D840" s="17">
        <f>SUM('Daily Input'!K398:K401)</f>
        <v>0</v>
      </c>
      <c r="E840" s="36">
        <f t="shared" ref="E840:F840" si="731">IF(B840=0,0,C840/B840)</f>
        <v>0</v>
      </c>
      <c r="F840" s="36">
        <f t="shared" si="731"/>
        <v>0</v>
      </c>
    </row>
    <row r="841" ht="15.75" customHeight="1">
      <c r="A841" s="35" t="s">
        <v>4</v>
      </c>
      <c r="B841" s="17">
        <f>SUM('Daily Input'!L398:L401)</f>
        <v>0</v>
      </c>
      <c r="C841" s="17">
        <f>SUM('Daily Input'!M398:M401)</f>
        <v>0</v>
      </c>
      <c r="D841" s="17">
        <f>SUM('Daily Input'!N398:N401)</f>
        <v>0</v>
      </c>
      <c r="E841" s="36">
        <f t="shared" ref="E841:F841" si="732">IF(B841=0,0,C841/B841)</f>
        <v>0</v>
      </c>
      <c r="F841" s="36">
        <f t="shared" si="732"/>
        <v>0</v>
      </c>
    </row>
    <row r="842" ht="15.75" customHeight="1">
      <c r="A842" s="35" t="s">
        <v>5</v>
      </c>
      <c r="B842" s="17">
        <f>SUM('Daily Input'!O398:O401)</f>
        <v>0</v>
      </c>
      <c r="C842" s="17">
        <f>SUM('Daily Input'!P398:P401)</f>
        <v>0</v>
      </c>
      <c r="D842" s="17">
        <f>SUM('Daily Input'!Q398:Q401)</f>
        <v>0</v>
      </c>
      <c r="E842" s="36">
        <f t="shared" ref="E842:F842" si="733">IF(B842=0,0,C842/B842)</f>
        <v>0</v>
      </c>
      <c r="F842" s="36">
        <f t="shared" si="733"/>
        <v>0</v>
      </c>
    </row>
    <row r="843" ht="15.75" customHeight="1">
      <c r="A843" s="35" t="s">
        <v>6</v>
      </c>
      <c r="B843" s="17">
        <f>SUM('Daily Input'!R398:R401)</f>
        <v>0</v>
      </c>
      <c r="C843" s="17">
        <f>SUM('Daily Input'!S398:S401)</f>
        <v>0</v>
      </c>
      <c r="D843" s="17">
        <f>SUM('Daily Input'!T398:T401)</f>
        <v>0</v>
      </c>
      <c r="E843" s="36">
        <f t="shared" ref="E843:F843" si="734">IF(B843=0,0,C843/B843)</f>
        <v>0</v>
      </c>
      <c r="F843" s="36">
        <f t="shared" si="734"/>
        <v>0</v>
      </c>
    </row>
    <row r="844" ht="15.75" customHeight="1">
      <c r="A844" s="35" t="s">
        <v>7</v>
      </c>
      <c r="B844" s="17">
        <f>SUM('Daily Input'!U398:U401)</f>
        <v>0</v>
      </c>
      <c r="C844" s="17">
        <f>SUM('Daily Input'!V398:V401)</f>
        <v>0</v>
      </c>
      <c r="D844" s="17">
        <f>SUM('Daily Input'!W398:W401)</f>
        <v>0</v>
      </c>
      <c r="E844" s="36">
        <f t="shared" ref="E844:F844" si="735">IF(B844=0,0,C844/B844)</f>
        <v>0</v>
      </c>
      <c r="F844" s="36">
        <f t="shared" si="735"/>
        <v>0</v>
      </c>
    </row>
    <row r="845" ht="15.75" customHeight="1">
      <c r="A845" s="35" t="s">
        <v>8</v>
      </c>
      <c r="B845" s="17">
        <f>SUM('Daily Input'!X398:X401)</f>
        <v>0</v>
      </c>
      <c r="C845" s="17">
        <f>SUM('Daily Input'!Y398:Y401)</f>
        <v>0</v>
      </c>
      <c r="D845" s="17">
        <f>SUM('Daily Input'!Z398:Z401)</f>
        <v>0</v>
      </c>
      <c r="E845" s="36">
        <f t="shared" ref="E845:F845" si="736">IF(B845=0,0,C845/B845)</f>
        <v>0</v>
      </c>
      <c r="F845" s="36">
        <f t="shared" si="736"/>
        <v>0</v>
      </c>
    </row>
    <row r="846" ht="15.75" customHeight="1">
      <c r="A846" s="35" t="s">
        <v>9</v>
      </c>
      <c r="B846" s="17">
        <f>SUM('Daily Input'!AA398:AA401)</f>
        <v>0</v>
      </c>
      <c r="C846" s="17">
        <f>SUM('Daily Input'!AB398:AB401)</f>
        <v>0</v>
      </c>
      <c r="D846" s="17">
        <f>SUM('Daily Input'!AC398:AC401)</f>
        <v>0</v>
      </c>
      <c r="E846" s="36">
        <f t="shared" ref="E846:F846" si="737">IF(B846=0,0,C846/B846)</f>
        <v>0</v>
      </c>
      <c r="F846" s="36">
        <f t="shared" si="737"/>
        <v>0</v>
      </c>
    </row>
    <row r="847" ht="15.75" customHeight="1">
      <c r="A847" s="35" t="s">
        <v>10</v>
      </c>
      <c r="B847" s="17">
        <f>SUM('Daily Input'!AD398:AD401)</f>
        <v>0</v>
      </c>
      <c r="C847" s="17">
        <f>SUM('Daily Input'!AE398:AE401)</f>
        <v>0</v>
      </c>
      <c r="D847" s="17">
        <f>SUM('Daily Input'!AF398:AF401)</f>
        <v>0</v>
      </c>
      <c r="E847" s="36">
        <f t="shared" ref="E847:F847" si="738">IF(B847=0,0,C847/B847)</f>
        <v>0</v>
      </c>
      <c r="F847" s="36">
        <f t="shared" si="738"/>
        <v>0</v>
      </c>
    </row>
    <row r="848" ht="15.75" customHeight="1">
      <c r="A848" s="35" t="s">
        <v>11</v>
      </c>
      <c r="B848" s="17">
        <f>SUM('Daily Input'!AG398:AG401)</f>
        <v>0</v>
      </c>
      <c r="C848" s="17">
        <f>SUM('Daily Input'!AH398:AH401)</f>
        <v>0</v>
      </c>
      <c r="D848" s="17">
        <f>SUM('Daily Input'!AI398:AI401)</f>
        <v>0</v>
      </c>
      <c r="E848" s="36">
        <f t="shared" ref="E848:F848" si="739">IF(B848=0,0,C848/B848)</f>
        <v>0</v>
      </c>
      <c r="F848" s="36">
        <f t="shared" si="739"/>
        <v>0</v>
      </c>
    </row>
    <row r="849" ht="15.75" customHeight="1">
      <c r="A849" s="35" t="s">
        <v>12</v>
      </c>
      <c r="B849" s="17">
        <f>SUM('Daily Input'!AJ398:AJ401)</f>
        <v>0</v>
      </c>
      <c r="C849" s="17">
        <f>SUM('Daily Input'!AK398:AK401)</f>
        <v>0</v>
      </c>
      <c r="D849" s="17">
        <f>SUM('Daily Input'!AL398:AL401)</f>
        <v>0</v>
      </c>
      <c r="E849" s="36">
        <f t="shared" ref="E849:F849" si="740">IF(B849=0,0,C849/B849)</f>
        <v>0</v>
      </c>
      <c r="F849" s="36">
        <f t="shared" si="740"/>
        <v>0</v>
      </c>
    </row>
    <row r="850" ht="15.75" customHeight="1">
      <c r="A850" s="37" t="s">
        <v>59</v>
      </c>
      <c r="B850" s="29">
        <f t="shared" ref="B850:D850" si="741">SUM(B838:B849)</f>
        <v>0</v>
      </c>
      <c r="C850" s="29">
        <f t="shared" si="741"/>
        <v>0</v>
      </c>
      <c r="D850" s="29">
        <f t="shared" si="741"/>
        <v>0</v>
      </c>
      <c r="E850" s="30">
        <f t="shared" ref="E850:F850" si="742">IF(B850=0,0,C850/B850)</f>
        <v>0</v>
      </c>
      <c r="F850" s="30">
        <f t="shared" si="742"/>
        <v>0</v>
      </c>
    </row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H1"/>
    <mergeCell ref="A2:H2"/>
    <mergeCell ref="A4:H4"/>
    <mergeCell ref="A20:H20"/>
    <mergeCell ref="A36:H36"/>
    <mergeCell ref="A52:H52"/>
    <mergeCell ref="A68:H68"/>
    <mergeCell ref="A84:H84"/>
    <mergeCell ref="A100:H100"/>
    <mergeCell ref="A116:H116"/>
    <mergeCell ref="A132:H132"/>
    <mergeCell ref="A148:H148"/>
    <mergeCell ref="A164:H164"/>
    <mergeCell ref="A180:H180"/>
    <mergeCell ref="A196:H196"/>
    <mergeCell ref="A212:H212"/>
    <mergeCell ref="A228:H228"/>
    <mergeCell ref="A244:H244"/>
    <mergeCell ref="A260:H260"/>
    <mergeCell ref="A276:H276"/>
    <mergeCell ref="A292:H292"/>
    <mergeCell ref="A308:H308"/>
    <mergeCell ref="A324:H324"/>
    <mergeCell ref="A340:H340"/>
    <mergeCell ref="A356:H356"/>
    <mergeCell ref="A372:H372"/>
    <mergeCell ref="A388:H388"/>
    <mergeCell ref="A404:H404"/>
    <mergeCell ref="A420:H420"/>
    <mergeCell ref="A436:H436"/>
    <mergeCell ref="A452:H452"/>
    <mergeCell ref="A468:H468"/>
    <mergeCell ref="A484:H484"/>
    <mergeCell ref="A500:H500"/>
    <mergeCell ref="A516:H516"/>
    <mergeCell ref="A532:H532"/>
    <mergeCell ref="A548:H548"/>
    <mergeCell ref="A564:H564"/>
    <mergeCell ref="A580:H580"/>
    <mergeCell ref="A596:H596"/>
    <mergeCell ref="A612:H612"/>
    <mergeCell ref="A628:H628"/>
    <mergeCell ref="A756:H756"/>
    <mergeCell ref="A772:H772"/>
    <mergeCell ref="A788:H788"/>
    <mergeCell ref="A804:H804"/>
    <mergeCell ref="A820:H820"/>
    <mergeCell ref="A836:H836"/>
    <mergeCell ref="A644:H644"/>
    <mergeCell ref="A660:H660"/>
    <mergeCell ref="A676:H676"/>
    <mergeCell ref="A692:H692"/>
    <mergeCell ref="A708:H708"/>
    <mergeCell ref="A724:H724"/>
    <mergeCell ref="A740:H74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8" width="14.0"/>
    <col customWidth="1" min="9" max="26" width="8.71"/>
  </cols>
  <sheetData>
    <row r="1" ht="36.0" customHeight="1">
      <c r="A1" s="31" t="s">
        <v>112</v>
      </c>
    </row>
    <row r="3">
      <c r="A3" s="9" t="s">
        <v>21</v>
      </c>
      <c r="B3" s="4"/>
      <c r="C3" s="4"/>
      <c r="D3" s="4"/>
      <c r="E3" s="4"/>
      <c r="F3" s="4"/>
      <c r="G3" s="4"/>
      <c r="H3" s="5"/>
    </row>
    <row r="4">
      <c r="A4" s="34" t="s">
        <v>55</v>
      </c>
      <c r="B4" s="34" t="s">
        <v>16</v>
      </c>
      <c r="C4" s="34" t="s">
        <v>17</v>
      </c>
      <c r="D4" s="34" t="s">
        <v>56</v>
      </c>
      <c r="E4" s="34" t="s">
        <v>57</v>
      </c>
      <c r="F4" s="34" t="s">
        <v>58</v>
      </c>
      <c r="G4" s="34" t="s">
        <v>113</v>
      </c>
      <c r="H4" s="34" t="s">
        <v>114</v>
      </c>
    </row>
    <row r="5">
      <c r="A5" s="38" t="s">
        <v>1</v>
      </c>
      <c r="B5" s="17">
        <f>'Daily Input'!C35</f>
        <v>22</v>
      </c>
      <c r="C5" s="17">
        <f>'Daily Input'!D35</f>
        <v>13</v>
      </c>
      <c r="D5" s="17">
        <f>'Daily Input'!E35</f>
        <v>0</v>
      </c>
      <c r="E5" s="36">
        <f t="shared" ref="E5:F5" si="1">IF(B5=0,0,C5/B5)</f>
        <v>0.5909090909</v>
      </c>
      <c r="F5" s="36">
        <f t="shared" si="1"/>
        <v>0</v>
      </c>
      <c r="G5" s="39">
        <f>IFERROR(AVERAGEIF('Daily Input'!C4:C34,"&gt;0"),0)</f>
        <v>2.444444444</v>
      </c>
      <c r="H5" s="17">
        <f>MAX('Daily Input'!C4:C34)</f>
        <v>4</v>
      </c>
    </row>
    <row r="6">
      <c r="A6" s="38" t="s">
        <v>2</v>
      </c>
      <c r="B6" s="17">
        <f>'Daily Input'!F35</f>
        <v>14</v>
      </c>
      <c r="C6" s="17">
        <f>'Daily Input'!G35</f>
        <v>7</v>
      </c>
      <c r="D6" s="17">
        <f>'Daily Input'!H35</f>
        <v>0</v>
      </c>
      <c r="E6" s="36">
        <f t="shared" ref="E6:F6" si="2">IF(B6=0,0,C6/B6)</f>
        <v>0.5</v>
      </c>
      <c r="F6" s="36">
        <f t="shared" si="2"/>
        <v>0</v>
      </c>
      <c r="G6" s="39">
        <f>IFERROR(AVERAGEIF('Daily Input'!F4:F34,"&gt;0"),0)</f>
        <v>1.555555556</v>
      </c>
      <c r="H6" s="17">
        <f>MAX('Daily Input'!F4:F34)</f>
        <v>4</v>
      </c>
    </row>
    <row r="7">
      <c r="A7" s="38" t="s">
        <v>3</v>
      </c>
      <c r="B7" s="17">
        <f>'Daily Input'!I35</f>
        <v>1</v>
      </c>
      <c r="C7" s="17">
        <f>'Daily Input'!J35</f>
        <v>0</v>
      </c>
      <c r="D7" s="17">
        <f>'Daily Input'!K35</f>
        <v>0</v>
      </c>
      <c r="E7" s="36">
        <f t="shared" ref="E7:F7" si="3">IF(B7=0,0,C7/B7)</f>
        <v>0</v>
      </c>
      <c r="F7" s="36">
        <f t="shared" si="3"/>
        <v>0</v>
      </c>
      <c r="G7" s="39">
        <f>IFERROR(AVERAGEIF('Daily Input'!I4:I34,"&gt;0"),0)</f>
        <v>1</v>
      </c>
      <c r="H7" s="17">
        <f>MAX('Daily Input'!I4:I34)</f>
        <v>1</v>
      </c>
    </row>
    <row r="8">
      <c r="A8" s="38" t="s">
        <v>4</v>
      </c>
      <c r="B8" s="17">
        <f>'Daily Input'!L35</f>
        <v>17</v>
      </c>
      <c r="C8" s="17">
        <f>'Daily Input'!M35</f>
        <v>10</v>
      </c>
      <c r="D8" s="17">
        <f>'Daily Input'!N35</f>
        <v>0</v>
      </c>
      <c r="E8" s="36">
        <f t="shared" ref="E8:F8" si="4">IF(B8=0,0,C8/B8)</f>
        <v>0.5882352941</v>
      </c>
      <c r="F8" s="36">
        <f t="shared" si="4"/>
        <v>0</v>
      </c>
      <c r="G8" s="39">
        <f>IFERROR(AVERAGEIF('Daily Input'!L4:L34,"&gt;0"),0)</f>
        <v>1.7</v>
      </c>
      <c r="H8" s="17">
        <f>MAX('Daily Input'!L4:L34)</f>
        <v>2</v>
      </c>
    </row>
    <row r="9">
      <c r="A9" s="38" t="s">
        <v>5</v>
      </c>
      <c r="B9" s="17">
        <f>'Daily Input'!O35</f>
        <v>10</v>
      </c>
      <c r="C9" s="17">
        <f>'Daily Input'!P35</f>
        <v>5</v>
      </c>
      <c r="D9" s="17">
        <f>'Daily Input'!Q35</f>
        <v>0</v>
      </c>
      <c r="E9" s="36">
        <f t="shared" ref="E9:F9" si="5">IF(B9=0,0,C9/B9)</f>
        <v>0.5</v>
      </c>
      <c r="F9" s="36">
        <f t="shared" si="5"/>
        <v>0</v>
      </c>
      <c r="G9" s="39">
        <f>IFERROR(AVERAGEIF('Daily Input'!O4:O34,"&gt;0"),0)</f>
        <v>1.25</v>
      </c>
      <c r="H9" s="17">
        <f>MAX('Daily Input'!O4:O34)</f>
        <v>3</v>
      </c>
    </row>
    <row r="10">
      <c r="A10" s="38" t="s">
        <v>6</v>
      </c>
      <c r="B10" s="17">
        <f>'Daily Input'!R35</f>
        <v>19</v>
      </c>
      <c r="C10" s="17">
        <f>'Daily Input'!S35</f>
        <v>11</v>
      </c>
      <c r="D10" s="17">
        <f>'Daily Input'!T35</f>
        <v>0</v>
      </c>
      <c r="E10" s="36">
        <f t="shared" ref="E10:F10" si="6">IF(B10=0,0,C10/B10)</f>
        <v>0.5789473684</v>
      </c>
      <c r="F10" s="36">
        <f t="shared" si="6"/>
        <v>0</v>
      </c>
      <c r="G10" s="39">
        <f>IFERROR(AVERAGEIF('Daily Input'!R4:R34,"&gt;0"),0)</f>
        <v>1.266666667</v>
      </c>
      <c r="H10" s="17">
        <f>MAX('Daily Input'!R4:R34)</f>
        <v>3</v>
      </c>
    </row>
    <row r="11">
      <c r="A11" s="38" t="s">
        <v>7</v>
      </c>
      <c r="B11" s="17">
        <f>'Daily Input'!U35</f>
        <v>9</v>
      </c>
      <c r="C11" s="17">
        <f>'Daily Input'!V35</f>
        <v>6</v>
      </c>
      <c r="D11" s="17">
        <f>'Daily Input'!W35</f>
        <v>0</v>
      </c>
      <c r="E11" s="36">
        <f t="shared" ref="E11:F11" si="7">IF(B11=0,0,C11/B11)</f>
        <v>0.6666666667</v>
      </c>
      <c r="F11" s="36">
        <f t="shared" si="7"/>
        <v>0</v>
      </c>
      <c r="G11" s="39">
        <f>IFERROR(AVERAGEIF('Daily Input'!U4:U34,"&gt;0"),0)</f>
        <v>1.285714286</v>
      </c>
      <c r="H11" s="17">
        <f>MAX('Daily Input'!U4:U34)</f>
        <v>2</v>
      </c>
    </row>
    <row r="12">
      <c r="A12" s="38" t="s">
        <v>8</v>
      </c>
      <c r="B12" s="17">
        <f>'Daily Input'!X35</f>
        <v>5</v>
      </c>
      <c r="C12" s="17">
        <f>'Daily Input'!Y35</f>
        <v>2</v>
      </c>
      <c r="D12" s="17">
        <f>'Daily Input'!Z35</f>
        <v>0</v>
      </c>
      <c r="E12" s="36">
        <f t="shared" ref="E12:F12" si="8">IF(B12=0,0,C12/B12)</f>
        <v>0.4</v>
      </c>
      <c r="F12" s="36">
        <f t="shared" si="8"/>
        <v>0</v>
      </c>
      <c r="G12" s="39">
        <f>IFERROR(AVERAGEIF('Daily Input'!X4:X34,"&gt;0"),0)</f>
        <v>1.666666667</v>
      </c>
      <c r="H12" s="17">
        <f>MAX('Daily Input'!X4:X34)</f>
        <v>2</v>
      </c>
    </row>
    <row r="13">
      <c r="A13" s="38" t="s">
        <v>9</v>
      </c>
      <c r="B13" s="17">
        <f>'Daily Input'!AA35</f>
        <v>2</v>
      </c>
      <c r="C13" s="17">
        <f>'Daily Input'!AB35</f>
        <v>2</v>
      </c>
      <c r="D13" s="17">
        <f>'Daily Input'!AC35</f>
        <v>0</v>
      </c>
      <c r="E13" s="36">
        <f t="shared" ref="E13:F13" si="9">IF(B13=0,0,C13/B13)</f>
        <v>1</v>
      </c>
      <c r="F13" s="36">
        <f t="shared" si="9"/>
        <v>0</v>
      </c>
      <c r="G13" s="39">
        <f>IFERROR(AVERAGEIF('Daily Input'!AA4:AA34,"&gt;0"),0)</f>
        <v>1</v>
      </c>
      <c r="H13" s="17">
        <f>MAX('Daily Input'!AA4:AA34)</f>
        <v>1</v>
      </c>
    </row>
    <row r="14">
      <c r="A14" s="38" t="s">
        <v>10</v>
      </c>
      <c r="B14" s="17">
        <f>'Daily Input'!AD35</f>
        <v>0</v>
      </c>
      <c r="C14" s="17">
        <f>'Daily Input'!AE35</f>
        <v>0</v>
      </c>
      <c r="D14" s="17">
        <f>'Daily Input'!AF35</f>
        <v>0</v>
      </c>
      <c r="E14" s="36">
        <f t="shared" ref="E14:F14" si="10">IF(B14=0,0,C14/B14)</f>
        <v>0</v>
      </c>
      <c r="F14" s="36">
        <f t="shared" si="10"/>
        <v>0</v>
      </c>
      <c r="G14" s="39">
        <f>IFERROR(AVERAGEIF('Daily Input'!AD4:AD34,"&gt;0"),0)</f>
        <v>0</v>
      </c>
      <c r="H14" s="17">
        <f>MAX('Daily Input'!AD4:AD34)</f>
        <v>0</v>
      </c>
    </row>
    <row r="15">
      <c r="A15" s="38" t="s">
        <v>11</v>
      </c>
      <c r="B15" s="17">
        <f>'Daily Input'!AG35</f>
        <v>0</v>
      </c>
      <c r="C15" s="17">
        <f>'Daily Input'!AH35</f>
        <v>0</v>
      </c>
      <c r="D15" s="17">
        <f>'Daily Input'!AI35</f>
        <v>0</v>
      </c>
      <c r="E15" s="36">
        <f t="shared" ref="E15:F15" si="11">IF(B15=0,0,C15/B15)</f>
        <v>0</v>
      </c>
      <c r="F15" s="36">
        <f t="shared" si="11"/>
        <v>0</v>
      </c>
      <c r="G15" s="39">
        <f>IFERROR(AVERAGEIF('Daily Input'!AG4:AG34,"&gt;0"),0)</f>
        <v>0</v>
      </c>
      <c r="H15" s="17">
        <f>MAX('Daily Input'!AG4:AG34)</f>
        <v>0</v>
      </c>
    </row>
    <row r="16">
      <c r="A16" s="38" t="s">
        <v>12</v>
      </c>
      <c r="B16" s="17">
        <f>'Daily Input'!AJ35</f>
        <v>0</v>
      </c>
      <c r="C16" s="17">
        <f>'Daily Input'!AK35</f>
        <v>0</v>
      </c>
      <c r="D16" s="17">
        <f>'Daily Input'!AL35</f>
        <v>0</v>
      </c>
      <c r="E16" s="36">
        <f t="shared" ref="E16:F16" si="12">IF(B16=0,0,C16/B16)</f>
        <v>0</v>
      </c>
      <c r="F16" s="36">
        <f t="shared" si="12"/>
        <v>0</v>
      </c>
      <c r="G16" s="39">
        <f>IFERROR(AVERAGEIF('Daily Input'!AJ4:AJ34,"&gt;0"),0)</f>
        <v>0</v>
      </c>
      <c r="H16" s="17">
        <f>MAX('Daily Input'!AJ4:AJ34)</f>
        <v>0</v>
      </c>
    </row>
    <row r="17">
      <c r="A17" s="40" t="s">
        <v>59</v>
      </c>
      <c r="B17" s="41">
        <f t="shared" ref="B17:D17" si="13">SUM(B5:B16)</f>
        <v>99</v>
      </c>
      <c r="C17" s="41">
        <f t="shared" si="13"/>
        <v>56</v>
      </c>
      <c r="D17" s="41">
        <f t="shared" si="13"/>
        <v>0</v>
      </c>
      <c r="E17" s="42">
        <f t="shared" ref="E17:F17" si="14">IF(B17=0,0,C17/B17)</f>
        <v>0.5656565657</v>
      </c>
      <c r="F17" s="42">
        <f t="shared" si="14"/>
        <v>0</v>
      </c>
      <c r="G17" s="43">
        <f>IFERROR(AVERAGE(G5:G16),0)</f>
        <v>1.097420635</v>
      </c>
      <c r="H17" s="41">
        <f>MAX(H5:H16)</f>
        <v>4</v>
      </c>
    </row>
    <row r="19">
      <c r="A19" s="9" t="s">
        <v>30</v>
      </c>
      <c r="B19" s="4"/>
      <c r="C19" s="4"/>
      <c r="D19" s="4"/>
      <c r="E19" s="4"/>
      <c r="F19" s="4"/>
      <c r="G19" s="4"/>
      <c r="H19" s="5"/>
    </row>
    <row r="20">
      <c r="A20" s="34" t="s">
        <v>55</v>
      </c>
      <c r="B20" s="34" t="s">
        <v>16</v>
      </c>
      <c r="C20" s="34" t="s">
        <v>17</v>
      </c>
      <c r="D20" s="34" t="s">
        <v>56</v>
      </c>
      <c r="E20" s="34" t="s">
        <v>57</v>
      </c>
      <c r="F20" s="34" t="s">
        <v>58</v>
      </c>
      <c r="G20" s="34" t="s">
        <v>113</v>
      </c>
      <c r="H20" s="34" t="s">
        <v>114</v>
      </c>
    </row>
    <row r="21" ht="15.75" customHeight="1">
      <c r="A21" s="38" t="s">
        <v>1</v>
      </c>
      <c r="B21" s="17">
        <f>'Daily Input'!C66</f>
        <v>0</v>
      </c>
      <c r="C21" s="17">
        <f>'Daily Input'!D66</f>
        <v>0</v>
      </c>
      <c r="D21" s="17">
        <f>'Daily Input'!E66</f>
        <v>0</v>
      </c>
      <c r="E21" s="36">
        <f t="shared" ref="E21:F21" si="15">IF(B21=0,0,C21/B21)</f>
        <v>0</v>
      </c>
      <c r="F21" s="36">
        <f t="shared" si="15"/>
        <v>0</v>
      </c>
      <c r="G21" s="39">
        <f>IFERROR(AVERAGEIF('Daily Input'!C38:C65,"&gt;0"),0)</f>
        <v>0</v>
      </c>
      <c r="H21" s="17">
        <f>MAX('Daily Input'!C38:C65)</f>
        <v>0</v>
      </c>
    </row>
    <row r="22" ht="15.75" customHeight="1">
      <c r="A22" s="38" t="s">
        <v>2</v>
      </c>
      <c r="B22" s="17">
        <f>'Daily Input'!F66</f>
        <v>0</v>
      </c>
      <c r="C22" s="17">
        <f>'Daily Input'!G66</f>
        <v>0</v>
      </c>
      <c r="D22" s="17">
        <f>'Daily Input'!H66</f>
        <v>0</v>
      </c>
      <c r="E22" s="36">
        <f t="shared" ref="E22:F22" si="16">IF(B22=0,0,C22/B22)</f>
        <v>0</v>
      </c>
      <c r="F22" s="36">
        <f t="shared" si="16"/>
        <v>0</v>
      </c>
      <c r="G22" s="39">
        <f>IFERROR(AVERAGEIF('Daily Input'!F38:F65,"&gt;0"),0)</f>
        <v>0</v>
      </c>
      <c r="H22" s="17">
        <f>MAX('Daily Input'!F38:F65)</f>
        <v>0</v>
      </c>
    </row>
    <row r="23" ht="15.75" customHeight="1">
      <c r="A23" s="38" t="s">
        <v>3</v>
      </c>
      <c r="B23" s="17">
        <f>'Daily Input'!I66</f>
        <v>0</v>
      </c>
      <c r="C23" s="17">
        <f>'Daily Input'!J66</f>
        <v>0</v>
      </c>
      <c r="D23" s="17">
        <f>'Daily Input'!K66</f>
        <v>0</v>
      </c>
      <c r="E23" s="36">
        <f t="shared" ref="E23:F23" si="17">IF(B23=0,0,C23/B23)</f>
        <v>0</v>
      </c>
      <c r="F23" s="36">
        <f t="shared" si="17"/>
        <v>0</v>
      </c>
      <c r="G23" s="39">
        <f>IFERROR(AVERAGEIF('Daily Input'!I38:I65,"&gt;0"),0)</f>
        <v>0</v>
      </c>
      <c r="H23" s="17">
        <f>MAX('Daily Input'!I38:I65)</f>
        <v>0</v>
      </c>
    </row>
    <row r="24" ht="15.75" customHeight="1">
      <c r="A24" s="38" t="s">
        <v>4</v>
      </c>
      <c r="B24" s="17">
        <f>'Daily Input'!L66</f>
        <v>0</v>
      </c>
      <c r="C24" s="17">
        <f>'Daily Input'!M66</f>
        <v>0</v>
      </c>
      <c r="D24" s="17">
        <f>'Daily Input'!N66</f>
        <v>0</v>
      </c>
      <c r="E24" s="36">
        <f t="shared" ref="E24:F24" si="18">IF(B24=0,0,C24/B24)</f>
        <v>0</v>
      </c>
      <c r="F24" s="36">
        <f t="shared" si="18"/>
        <v>0</v>
      </c>
      <c r="G24" s="39">
        <f>IFERROR(AVERAGEIF('Daily Input'!L38:L65,"&gt;0"),0)</f>
        <v>0</v>
      </c>
      <c r="H24" s="17">
        <f>MAX('Daily Input'!L38:L65)</f>
        <v>0</v>
      </c>
    </row>
    <row r="25" ht="15.75" customHeight="1">
      <c r="A25" s="38" t="s">
        <v>5</v>
      </c>
      <c r="B25" s="17">
        <f>'Daily Input'!O66</f>
        <v>0</v>
      </c>
      <c r="C25" s="17">
        <f>'Daily Input'!P66</f>
        <v>0</v>
      </c>
      <c r="D25" s="17">
        <f>'Daily Input'!Q66</f>
        <v>0</v>
      </c>
      <c r="E25" s="36">
        <f t="shared" ref="E25:F25" si="19">IF(B25=0,0,C25/B25)</f>
        <v>0</v>
      </c>
      <c r="F25" s="36">
        <f t="shared" si="19"/>
        <v>0</v>
      </c>
      <c r="G25" s="39">
        <f>IFERROR(AVERAGEIF('Daily Input'!O38:O65,"&gt;0"),0)</f>
        <v>0</v>
      </c>
      <c r="H25" s="17">
        <f>MAX('Daily Input'!O38:O65)</f>
        <v>0</v>
      </c>
    </row>
    <row r="26" ht="15.75" customHeight="1">
      <c r="A26" s="38" t="s">
        <v>6</v>
      </c>
      <c r="B26" s="17">
        <f>'Daily Input'!R66</f>
        <v>0</v>
      </c>
      <c r="C26" s="17">
        <f>'Daily Input'!S66</f>
        <v>0</v>
      </c>
      <c r="D26" s="17">
        <f>'Daily Input'!T66</f>
        <v>0</v>
      </c>
      <c r="E26" s="36">
        <f t="shared" ref="E26:F26" si="20">IF(B26=0,0,C26/B26)</f>
        <v>0</v>
      </c>
      <c r="F26" s="36">
        <f t="shared" si="20"/>
        <v>0</v>
      </c>
      <c r="G26" s="39">
        <f>IFERROR(AVERAGEIF('Daily Input'!R38:R65,"&gt;0"),0)</f>
        <v>0</v>
      </c>
      <c r="H26" s="17">
        <f>MAX('Daily Input'!R38:R65)</f>
        <v>0</v>
      </c>
    </row>
    <row r="27" ht="15.75" customHeight="1">
      <c r="A27" s="38" t="s">
        <v>7</v>
      </c>
      <c r="B27" s="17">
        <f>'Daily Input'!U66</f>
        <v>0</v>
      </c>
      <c r="C27" s="17">
        <f>'Daily Input'!V66</f>
        <v>0</v>
      </c>
      <c r="D27" s="17">
        <f>'Daily Input'!W66</f>
        <v>0</v>
      </c>
      <c r="E27" s="36">
        <f t="shared" ref="E27:F27" si="21">IF(B27=0,0,C27/B27)</f>
        <v>0</v>
      </c>
      <c r="F27" s="36">
        <f t="shared" si="21"/>
        <v>0</v>
      </c>
      <c r="G27" s="39">
        <f>IFERROR(AVERAGEIF('Daily Input'!U38:U65,"&gt;0"),0)</f>
        <v>0</v>
      </c>
      <c r="H27" s="17">
        <f>MAX('Daily Input'!U38:U65)</f>
        <v>0</v>
      </c>
    </row>
    <row r="28" ht="15.75" customHeight="1">
      <c r="A28" s="38" t="s">
        <v>8</v>
      </c>
      <c r="B28" s="17">
        <f>'Daily Input'!X66</f>
        <v>0</v>
      </c>
      <c r="C28" s="17">
        <f>'Daily Input'!Y66</f>
        <v>0</v>
      </c>
      <c r="D28" s="17">
        <f>'Daily Input'!Z66</f>
        <v>0</v>
      </c>
      <c r="E28" s="36">
        <f t="shared" ref="E28:F28" si="22">IF(B28=0,0,C28/B28)</f>
        <v>0</v>
      </c>
      <c r="F28" s="36">
        <f t="shared" si="22"/>
        <v>0</v>
      </c>
      <c r="G28" s="39">
        <f>IFERROR(AVERAGEIF('Daily Input'!X38:X65,"&gt;0"),0)</f>
        <v>0</v>
      </c>
      <c r="H28" s="17">
        <f>MAX('Daily Input'!X38:X65)</f>
        <v>0</v>
      </c>
    </row>
    <row r="29" ht="15.75" customHeight="1">
      <c r="A29" s="38" t="s">
        <v>9</v>
      </c>
      <c r="B29" s="17">
        <f>'Daily Input'!AA66</f>
        <v>0</v>
      </c>
      <c r="C29" s="17">
        <f>'Daily Input'!AB66</f>
        <v>0</v>
      </c>
      <c r="D29" s="17">
        <f>'Daily Input'!AC66</f>
        <v>0</v>
      </c>
      <c r="E29" s="36">
        <f t="shared" ref="E29:F29" si="23">IF(B29=0,0,C29/B29)</f>
        <v>0</v>
      </c>
      <c r="F29" s="36">
        <f t="shared" si="23"/>
        <v>0</v>
      </c>
      <c r="G29" s="39">
        <f>IFERROR(AVERAGEIF('Daily Input'!AA38:AA65,"&gt;0"),0)</f>
        <v>0</v>
      </c>
      <c r="H29" s="17">
        <f>MAX('Daily Input'!AA38:AA65)</f>
        <v>0</v>
      </c>
    </row>
    <row r="30" ht="15.75" customHeight="1">
      <c r="A30" s="38" t="s">
        <v>10</v>
      </c>
      <c r="B30" s="17">
        <f>'Daily Input'!AD66</f>
        <v>0</v>
      </c>
      <c r="C30" s="17">
        <f>'Daily Input'!AE66</f>
        <v>0</v>
      </c>
      <c r="D30" s="17">
        <f>'Daily Input'!AF66</f>
        <v>0</v>
      </c>
      <c r="E30" s="36">
        <f t="shared" ref="E30:F30" si="24">IF(B30=0,0,C30/B30)</f>
        <v>0</v>
      </c>
      <c r="F30" s="36">
        <f t="shared" si="24"/>
        <v>0</v>
      </c>
      <c r="G30" s="39">
        <f>IFERROR(AVERAGEIF('Daily Input'!AD38:AD65,"&gt;0"),0)</f>
        <v>0</v>
      </c>
      <c r="H30" s="17">
        <f>MAX('Daily Input'!AD38:AD65)</f>
        <v>0</v>
      </c>
    </row>
    <row r="31" ht="15.75" customHeight="1">
      <c r="A31" s="38" t="s">
        <v>11</v>
      </c>
      <c r="B31" s="17">
        <f>'Daily Input'!AG66</f>
        <v>0</v>
      </c>
      <c r="C31" s="17">
        <f>'Daily Input'!AH66</f>
        <v>0</v>
      </c>
      <c r="D31" s="17">
        <f>'Daily Input'!AI66</f>
        <v>0</v>
      </c>
      <c r="E31" s="36">
        <f t="shared" ref="E31:F31" si="25">IF(B31=0,0,C31/B31)</f>
        <v>0</v>
      </c>
      <c r="F31" s="36">
        <f t="shared" si="25"/>
        <v>0</v>
      </c>
      <c r="G31" s="39">
        <f>IFERROR(AVERAGEIF('Daily Input'!AG38:AG65,"&gt;0"),0)</f>
        <v>0</v>
      </c>
      <c r="H31" s="17">
        <f>MAX('Daily Input'!AG38:AG65)</f>
        <v>0</v>
      </c>
    </row>
    <row r="32" ht="15.75" customHeight="1">
      <c r="A32" s="38" t="s">
        <v>12</v>
      </c>
      <c r="B32" s="17">
        <f>'Daily Input'!AJ66</f>
        <v>0</v>
      </c>
      <c r="C32" s="17">
        <f>'Daily Input'!AK66</f>
        <v>0</v>
      </c>
      <c r="D32" s="17">
        <f>'Daily Input'!AL66</f>
        <v>0</v>
      </c>
      <c r="E32" s="36">
        <f t="shared" ref="E32:F32" si="26">IF(B32=0,0,C32/B32)</f>
        <v>0</v>
      </c>
      <c r="F32" s="36">
        <f t="shared" si="26"/>
        <v>0</v>
      </c>
      <c r="G32" s="39">
        <f>IFERROR(AVERAGEIF('Daily Input'!AJ38:AJ65,"&gt;0"),0)</f>
        <v>0</v>
      </c>
      <c r="H32" s="17">
        <f>MAX('Daily Input'!AJ38:AJ65)</f>
        <v>0</v>
      </c>
    </row>
    <row r="33" ht="15.75" customHeight="1">
      <c r="A33" s="40" t="s">
        <v>59</v>
      </c>
      <c r="B33" s="41">
        <f t="shared" ref="B33:D33" si="27">SUM(B21:B32)</f>
        <v>0</v>
      </c>
      <c r="C33" s="41">
        <f t="shared" si="27"/>
        <v>0</v>
      </c>
      <c r="D33" s="41">
        <f t="shared" si="27"/>
        <v>0</v>
      </c>
      <c r="E33" s="42">
        <f t="shared" ref="E33:F33" si="28">IF(B33=0,0,C33/B33)</f>
        <v>0</v>
      </c>
      <c r="F33" s="42">
        <f t="shared" si="28"/>
        <v>0</v>
      </c>
      <c r="G33" s="43">
        <f>IFERROR(AVERAGE(G21:G32),0)</f>
        <v>0</v>
      </c>
      <c r="H33" s="41">
        <f>MAX(H21:H32)</f>
        <v>0</v>
      </c>
    </row>
    <row r="34" ht="15.75" customHeight="1"/>
    <row r="35" ht="15.75" customHeight="1">
      <c r="A35" s="9" t="s">
        <v>32</v>
      </c>
      <c r="B35" s="4"/>
      <c r="C35" s="4"/>
      <c r="D35" s="4"/>
      <c r="E35" s="4"/>
      <c r="F35" s="4"/>
      <c r="G35" s="4"/>
      <c r="H35" s="5"/>
    </row>
    <row r="36" ht="15.75" customHeight="1">
      <c r="A36" s="34" t="s">
        <v>55</v>
      </c>
      <c r="B36" s="34" t="s">
        <v>16</v>
      </c>
      <c r="C36" s="34" t="s">
        <v>17</v>
      </c>
      <c r="D36" s="34" t="s">
        <v>56</v>
      </c>
      <c r="E36" s="34" t="s">
        <v>57</v>
      </c>
      <c r="F36" s="34" t="s">
        <v>58</v>
      </c>
      <c r="G36" s="34" t="s">
        <v>113</v>
      </c>
      <c r="H36" s="34" t="s">
        <v>114</v>
      </c>
    </row>
    <row r="37" ht="15.75" customHeight="1">
      <c r="A37" s="38" t="s">
        <v>1</v>
      </c>
      <c r="B37" s="17">
        <f>'Daily Input'!C100</f>
        <v>0</v>
      </c>
      <c r="C37" s="17">
        <f>'Daily Input'!D100</f>
        <v>0</v>
      </c>
      <c r="D37" s="17">
        <f>'Daily Input'!E100</f>
        <v>0</v>
      </c>
      <c r="E37" s="36">
        <f t="shared" ref="E37:F37" si="29">IF(B37=0,0,C37/B37)</f>
        <v>0</v>
      </c>
      <c r="F37" s="36">
        <f t="shared" si="29"/>
        <v>0</v>
      </c>
      <c r="G37" s="39">
        <f>IFERROR(AVERAGEIF('Daily Input'!C69:C99,"&gt;0"),0)</f>
        <v>0</v>
      </c>
      <c r="H37" s="17">
        <f>MAX('Daily Input'!C69:C99)</f>
        <v>0</v>
      </c>
    </row>
    <row r="38" ht="15.75" customHeight="1">
      <c r="A38" s="38" t="s">
        <v>2</v>
      </c>
      <c r="B38" s="17">
        <f>'Daily Input'!F100</f>
        <v>0</v>
      </c>
      <c r="C38" s="17">
        <f>'Daily Input'!G100</f>
        <v>0</v>
      </c>
      <c r="D38" s="17">
        <f>'Daily Input'!H100</f>
        <v>0</v>
      </c>
      <c r="E38" s="36">
        <f t="shared" ref="E38:F38" si="30">IF(B38=0,0,C38/B38)</f>
        <v>0</v>
      </c>
      <c r="F38" s="36">
        <f t="shared" si="30"/>
        <v>0</v>
      </c>
      <c r="G38" s="39">
        <f>IFERROR(AVERAGEIF('Daily Input'!F69:F99,"&gt;0"),0)</f>
        <v>0</v>
      </c>
      <c r="H38" s="17">
        <f>MAX('Daily Input'!F69:F99)</f>
        <v>0</v>
      </c>
    </row>
    <row r="39" ht="15.75" customHeight="1">
      <c r="A39" s="38" t="s">
        <v>3</v>
      </c>
      <c r="B39" s="17">
        <f>'Daily Input'!I100</f>
        <v>0</v>
      </c>
      <c r="C39" s="17">
        <f>'Daily Input'!J100</f>
        <v>0</v>
      </c>
      <c r="D39" s="17">
        <f>'Daily Input'!K100</f>
        <v>0</v>
      </c>
      <c r="E39" s="36">
        <f t="shared" ref="E39:F39" si="31">IF(B39=0,0,C39/B39)</f>
        <v>0</v>
      </c>
      <c r="F39" s="36">
        <f t="shared" si="31"/>
        <v>0</v>
      </c>
      <c r="G39" s="39">
        <f>IFERROR(AVERAGEIF('Daily Input'!I69:I99,"&gt;0"),0)</f>
        <v>0</v>
      </c>
      <c r="H39" s="17">
        <f>MAX('Daily Input'!I69:I99)</f>
        <v>0</v>
      </c>
    </row>
    <row r="40" ht="15.75" customHeight="1">
      <c r="A40" s="38" t="s">
        <v>4</v>
      </c>
      <c r="B40" s="17">
        <f>'Daily Input'!L100</f>
        <v>0</v>
      </c>
      <c r="C40" s="17">
        <f>'Daily Input'!M100</f>
        <v>0</v>
      </c>
      <c r="D40" s="17">
        <f>'Daily Input'!N100</f>
        <v>0</v>
      </c>
      <c r="E40" s="36">
        <f t="shared" ref="E40:F40" si="32">IF(B40=0,0,C40/B40)</f>
        <v>0</v>
      </c>
      <c r="F40" s="36">
        <f t="shared" si="32"/>
        <v>0</v>
      </c>
      <c r="G40" s="39">
        <f>IFERROR(AVERAGEIF('Daily Input'!L69:L99,"&gt;0"),0)</f>
        <v>0</v>
      </c>
      <c r="H40" s="17">
        <f>MAX('Daily Input'!L69:L99)</f>
        <v>0</v>
      </c>
    </row>
    <row r="41" ht="15.75" customHeight="1">
      <c r="A41" s="38" t="s">
        <v>5</v>
      </c>
      <c r="B41" s="17">
        <f>'Daily Input'!O100</f>
        <v>0</v>
      </c>
      <c r="C41" s="17">
        <f>'Daily Input'!P100</f>
        <v>0</v>
      </c>
      <c r="D41" s="17">
        <f>'Daily Input'!Q100</f>
        <v>0</v>
      </c>
      <c r="E41" s="36">
        <f t="shared" ref="E41:F41" si="33">IF(B41=0,0,C41/B41)</f>
        <v>0</v>
      </c>
      <c r="F41" s="36">
        <f t="shared" si="33"/>
        <v>0</v>
      </c>
      <c r="G41" s="39">
        <f>IFERROR(AVERAGEIF('Daily Input'!O69:O99,"&gt;0"),0)</f>
        <v>0</v>
      </c>
      <c r="H41" s="17">
        <f>MAX('Daily Input'!O69:O99)</f>
        <v>0</v>
      </c>
    </row>
    <row r="42" ht="15.75" customHeight="1">
      <c r="A42" s="38" t="s">
        <v>6</v>
      </c>
      <c r="B42" s="17">
        <f>'Daily Input'!R100</f>
        <v>0</v>
      </c>
      <c r="C42" s="17">
        <f>'Daily Input'!S100</f>
        <v>0</v>
      </c>
      <c r="D42" s="17">
        <f>'Daily Input'!T100</f>
        <v>0</v>
      </c>
      <c r="E42" s="36">
        <f t="shared" ref="E42:F42" si="34">IF(B42=0,0,C42/B42)</f>
        <v>0</v>
      </c>
      <c r="F42" s="36">
        <f t="shared" si="34"/>
        <v>0</v>
      </c>
      <c r="G42" s="39">
        <f>IFERROR(AVERAGEIF('Daily Input'!R69:R99,"&gt;0"),0)</f>
        <v>0</v>
      </c>
      <c r="H42" s="17">
        <f>MAX('Daily Input'!R69:R99)</f>
        <v>0</v>
      </c>
    </row>
    <row r="43" ht="15.75" customHeight="1">
      <c r="A43" s="38" t="s">
        <v>7</v>
      </c>
      <c r="B43" s="17">
        <f>'Daily Input'!U100</f>
        <v>0</v>
      </c>
      <c r="C43" s="17">
        <f>'Daily Input'!V100</f>
        <v>0</v>
      </c>
      <c r="D43" s="17">
        <f>'Daily Input'!W100</f>
        <v>0</v>
      </c>
      <c r="E43" s="36">
        <f t="shared" ref="E43:F43" si="35">IF(B43=0,0,C43/B43)</f>
        <v>0</v>
      </c>
      <c r="F43" s="36">
        <f t="shared" si="35"/>
        <v>0</v>
      </c>
      <c r="G43" s="39">
        <f>IFERROR(AVERAGEIF('Daily Input'!U69:U99,"&gt;0"),0)</f>
        <v>0</v>
      </c>
      <c r="H43" s="17">
        <f>MAX('Daily Input'!U69:U99)</f>
        <v>0</v>
      </c>
    </row>
    <row r="44" ht="15.75" customHeight="1">
      <c r="A44" s="38" t="s">
        <v>8</v>
      </c>
      <c r="B44" s="17">
        <f>'Daily Input'!X100</f>
        <v>0</v>
      </c>
      <c r="C44" s="17">
        <f>'Daily Input'!Y100</f>
        <v>0</v>
      </c>
      <c r="D44" s="17">
        <f>'Daily Input'!Z100</f>
        <v>0</v>
      </c>
      <c r="E44" s="36">
        <f t="shared" ref="E44:F44" si="36">IF(B44=0,0,C44/B44)</f>
        <v>0</v>
      </c>
      <c r="F44" s="36">
        <f t="shared" si="36"/>
        <v>0</v>
      </c>
      <c r="G44" s="39">
        <f>IFERROR(AVERAGEIF('Daily Input'!X69:X99,"&gt;0"),0)</f>
        <v>0</v>
      </c>
      <c r="H44" s="17">
        <f>MAX('Daily Input'!X69:X99)</f>
        <v>0</v>
      </c>
    </row>
    <row r="45" ht="15.75" customHeight="1">
      <c r="A45" s="38" t="s">
        <v>9</v>
      </c>
      <c r="B45" s="17">
        <f>'Daily Input'!AA100</f>
        <v>0</v>
      </c>
      <c r="C45" s="17">
        <f>'Daily Input'!AB100</f>
        <v>0</v>
      </c>
      <c r="D45" s="17">
        <f>'Daily Input'!AC100</f>
        <v>0</v>
      </c>
      <c r="E45" s="36">
        <f t="shared" ref="E45:F45" si="37">IF(B45=0,0,C45/B45)</f>
        <v>0</v>
      </c>
      <c r="F45" s="36">
        <f t="shared" si="37"/>
        <v>0</v>
      </c>
      <c r="G45" s="39">
        <f>IFERROR(AVERAGEIF('Daily Input'!AA69:AA99,"&gt;0"),0)</f>
        <v>0</v>
      </c>
      <c r="H45" s="17">
        <f>MAX('Daily Input'!AA69:AA99)</f>
        <v>0</v>
      </c>
    </row>
    <row r="46" ht="15.75" customHeight="1">
      <c r="A46" s="38" t="s">
        <v>10</v>
      </c>
      <c r="B46" s="17">
        <f>'Daily Input'!AD100</f>
        <v>0</v>
      </c>
      <c r="C46" s="17">
        <f>'Daily Input'!AE100</f>
        <v>0</v>
      </c>
      <c r="D46" s="17">
        <f>'Daily Input'!AF100</f>
        <v>0</v>
      </c>
      <c r="E46" s="36">
        <f t="shared" ref="E46:F46" si="38">IF(B46=0,0,C46/B46)</f>
        <v>0</v>
      </c>
      <c r="F46" s="36">
        <f t="shared" si="38"/>
        <v>0</v>
      </c>
      <c r="G46" s="39">
        <f>IFERROR(AVERAGEIF('Daily Input'!AD69:AD99,"&gt;0"),0)</f>
        <v>0</v>
      </c>
      <c r="H46" s="17">
        <f>MAX('Daily Input'!AD69:AD99)</f>
        <v>0</v>
      </c>
    </row>
    <row r="47" ht="15.75" customHeight="1">
      <c r="A47" s="38" t="s">
        <v>11</v>
      </c>
      <c r="B47" s="17">
        <f>'Daily Input'!AG100</f>
        <v>0</v>
      </c>
      <c r="C47" s="17">
        <f>'Daily Input'!AH100</f>
        <v>0</v>
      </c>
      <c r="D47" s="17">
        <f>'Daily Input'!AI100</f>
        <v>0</v>
      </c>
      <c r="E47" s="36">
        <f t="shared" ref="E47:F47" si="39">IF(B47=0,0,C47/B47)</f>
        <v>0</v>
      </c>
      <c r="F47" s="36">
        <f t="shared" si="39"/>
        <v>0</v>
      </c>
      <c r="G47" s="39">
        <f>IFERROR(AVERAGEIF('Daily Input'!AG69:AG99,"&gt;0"),0)</f>
        <v>0</v>
      </c>
      <c r="H47" s="17">
        <f>MAX('Daily Input'!AG69:AG99)</f>
        <v>0</v>
      </c>
    </row>
    <row r="48" ht="15.75" customHeight="1">
      <c r="A48" s="38" t="s">
        <v>12</v>
      </c>
      <c r="B48" s="17">
        <f>'Daily Input'!AJ100</f>
        <v>0</v>
      </c>
      <c r="C48" s="17">
        <f>'Daily Input'!AK100</f>
        <v>0</v>
      </c>
      <c r="D48" s="17">
        <f>'Daily Input'!AL100</f>
        <v>0</v>
      </c>
      <c r="E48" s="36">
        <f t="shared" ref="E48:F48" si="40">IF(B48=0,0,C48/B48)</f>
        <v>0</v>
      </c>
      <c r="F48" s="36">
        <f t="shared" si="40"/>
        <v>0</v>
      </c>
      <c r="G48" s="39">
        <f>IFERROR(AVERAGEIF('Daily Input'!AJ69:AJ99,"&gt;0"),0)</f>
        <v>0</v>
      </c>
      <c r="H48" s="17">
        <f>MAX('Daily Input'!AJ69:AJ99)</f>
        <v>0</v>
      </c>
    </row>
    <row r="49" ht="15.75" customHeight="1">
      <c r="A49" s="40" t="s">
        <v>59</v>
      </c>
      <c r="B49" s="41">
        <f t="shared" ref="B49:D49" si="41">SUM(B37:B48)</f>
        <v>0</v>
      </c>
      <c r="C49" s="41">
        <f t="shared" si="41"/>
        <v>0</v>
      </c>
      <c r="D49" s="41">
        <f t="shared" si="41"/>
        <v>0</v>
      </c>
      <c r="E49" s="42">
        <f t="shared" ref="E49:F49" si="42">IF(B49=0,0,C49/B49)</f>
        <v>0</v>
      </c>
      <c r="F49" s="42">
        <f t="shared" si="42"/>
        <v>0</v>
      </c>
      <c r="G49" s="43">
        <f>IFERROR(AVERAGE(G37:G48),0)</f>
        <v>0</v>
      </c>
      <c r="H49" s="41">
        <f>MAX(H37:H48)</f>
        <v>0</v>
      </c>
    </row>
    <row r="50" ht="15.75" customHeight="1"/>
    <row r="51" ht="15.75" customHeight="1">
      <c r="A51" s="9" t="s">
        <v>34</v>
      </c>
      <c r="B51" s="4"/>
      <c r="C51" s="4"/>
      <c r="D51" s="4"/>
      <c r="E51" s="4"/>
      <c r="F51" s="4"/>
      <c r="G51" s="4"/>
      <c r="H51" s="5"/>
    </row>
    <row r="52" ht="15.75" customHeight="1">
      <c r="A52" s="34" t="s">
        <v>55</v>
      </c>
      <c r="B52" s="34" t="s">
        <v>16</v>
      </c>
      <c r="C52" s="34" t="s">
        <v>17</v>
      </c>
      <c r="D52" s="34" t="s">
        <v>56</v>
      </c>
      <c r="E52" s="34" t="s">
        <v>57</v>
      </c>
      <c r="F52" s="34" t="s">
        <v>58</v>
      </c>
      <c r="G52" s="34" t="s">
        <v>113</v>
      </c>
      <c r="H52" s="34" t="s">
        <v>114</v>
      </c>
    </row>
    <row r="53" ht="15.75" customHeight="1">
      <c r="A53" s="38" t="s">
        <v>1</v>
      </c>
      <c r="B53" s="17">
        <f>'Daily Input'!C133</f>
        <v>0</v>
      </c>
      <c r="C53" s="17">
        <f>'Daily Input'!D133</f>
        <v>0</v>
      </c>
      <c r="D53" s="17">
        <f>'Daily Input'!E133</f>
        <v>0</v>
      </c>
      <c r="E53" s="36">
        <f t="shared" ref="E53:F53" si="43">IF(B53=0,0,C53/B53)</f>
        <v>0</v>
      </c>
      <c r="F53" s="36">
        <f t="shared" si="43"/>
        <v>0</v>
      </c>
      <c r="G53" s="39">
        <f>IFERROR(AVERAGEIF('Daily Input'!C103:C132,"&gt;0"),0)</f>
        <v>0</v>
      </c>
      <c r="H53" s="17">
        <f>MAX('Daily Input'!C103:C132)</f>
        <v>0</v>
      </c>
    </row>
    <row r="54" ht="15.75" customHeight="1">
      <c r="A54" s="38" t="s">
        <v>2</v>
      </c>
      <c r="B54" s="17">
        <f>'Daily Input'!F133</f>
        <v>0</v>
      </c>
      <c r="C54" s="17">
        <f>'Daily Input'!G133</f>
        <v>0</v>
      </c>
      <c r="D54" s="17">
        <f>'Daily Input'!H133</f>
        <v>0</v>
      </c>
      <c r="E54" s="36">
        <f t="shared" ref="E54:F54" si="44">IF(B54=0,0,C54/B54)</f>
        <v>0</v>
      </c>
      <c r="F54" s="36">
        <f t="shared" si="44"/>
        <v>0</v>
      </c>
      <c r="G54" s="39">
        <f>IFERROR(AVERAGEIF('Daily Input'!F103:F132,"&gt;0"),0)</f>
        <v>0</v>
      </c>
      <c r="H54" s="17">
        <f>MAX('Daily Input'!F103:F132)</f>
        <v>0</v>
      </c>
    </row>
    <row r="55" ht="15.75" customHeight="1">
      <c r="A55" s="38" t="s">
        <v>3</v>
      </c>
      <c r="B55" s="17">
        <f>'Daily Input'!I133</f>
        <v>0</v>
      </c>
      <c r="C55" s="17">
        <f>'Daily Input'!J133</f>
        <v>0</v>
      </c>
      <c r="D55" s="17">
        <f>'Daily Input'!K133</f>
        <v>0</v>
      </c>
      <c r="E55" s="36">
        <f t="shared" ref="E55:F55" si="45">IF(B55=0,0,C55/B55)</f>
        <v>0</v>
      </c>
      <c r="F55" s="36">
        <f t="shared" si="45"/>
        <v>0</v>
      </c>
      <c r="G55" s="39">
        <f>IFERROR(AVERAGEIF('Daily Input'!I103:I132,"&gt;0"),0)</f>
        <v>0</v>
      </c>
      <c r="H55" s="17">
        <f>MAX('Daily Input'!I103:I132)</f>
        <v>0</v>
      </c>
    </row>
    <row r="56" ht="15.75" customHeight="1">
      <c r="A56" s="38" t="s">
        <v>4</v>
      </c>
      <c r="B56" s="17">
        <f>'Daily Input'!L133</f>
        <v>0</v>
      </c>
      <c r="C56" s="17">
        <f>'Daily Input'!M133</f>
        <v>0</v>
      </c>
      <c r="D56" s="17">
        <f>'Daily Input'!N133</f>
        <v>0</v>
      </c>
      <c r="E56" s="36">
        <f t="shared" ref="E56:F56" si="46">IF(B56=0,0,C56/B56)</f>
        <v>0</v>
      </c>
      <c r="F56" s="36">
        <f t="shared" si="46"/>
        <v>0</v>
      </c>
      <c r="G56" s="39">
        <f>IFERROR(AVERAGEIF('Daily Input'!L103:L132,"&gt;0"),0)</f>
        <v>0</v>
      </c>
      <c r="H56" s="17">
        <f>MAX('Daily Input'!L103:L132)</f>
        <v>0</v>
      </c>
    </row>
    <row r="57" ht="15.75" customHeight="1">
      <c r="A57" s="38" t="s">
        <v>5</v>
      </c>
      <c r="B57" s="17">
        <f>'Daily Input'!O133</f>
        <v>0</v>
      </c>
      <c r="C57" s="17">
        <f>'Daily Input'!P133</f>
        <v>0</v>
      </c>
      <c r="D57" s="17">
        <f>'Daily Input'!Q133</f>
        <v>0</v>
      </c>
      <c r="E57" s="36">
        <f t="shared" ref="E57:F57" si="47">IF(B57=0,0,C57/B57)</f>
        <v>0</v>
      </c>
      <c r="F57" s="36">
        <f t="shared" si="47"/>
        <v>0</v>
      </c>
      <c r="G57" s="39">
        <f>IFERROR(AVERAGEIF('Daily Input'!O103:O132,"&gt;0"),0)</f>
        <v>0</v>
      </c>
      <c r="H57" s="17">
        <f>MAX('Daily Input'!O103:O132)</f>
        <v>0</v>
      </c>
    </row>
    <row r="58" ht="15.75" customHeight="1">
      <c r="A58" s="38" t="s">
        <v>6</v>
      </c>
      <c r="B58" s="17">
        <f>'Daily Input'!R133</f>
        <v>0</v>
      </c>
      <c r="C58" s="17">
        <f>'Daily Input'!S133</f>
        <v>0</v>
      </c>
      <c r="D58" s="17">
        <f>'Daily Input'!T133</f>
        <v>0</v>
      </c>
      <c r="E58" s="36">
        <f t="shared" ref="E58:F58" si="48">IF(B58=0,0,C58/B58)</f>
        <v>0</v>
      </c>
      <c r="F58" s="36">
        <f t="shared" si="48"/>
        <v>0</v>
      </c>
      <c r="G58" s="39">
        <f>IFERROR(AVERAGEIF('Daily Input'!R103:R132,"&gt;0"),0)</f>
        <v>0</v>
      </c>
      <c r="H58" s="17">
        <f>MAX('Daily Input'!R103:R132)</f>
        <v>0</v>
      </c>
    </row>
    <row r="59" ht="15.75" customHeight="1">
      <c r="A59" s="38" t="s">
        <v>7</v>
      </c>
      <c r="B59" s="17">
        <f>'Daily Input'!U133</f>
        <v>0</v>
      </c>
      <c r="C59" s="17">
        <f>'Daily Input'!V133</f>
        <v>0</v>
      </c>
      <c r="D59" s="17">
        <f>'Daily Input'!W133</f>
        <v>0</v>
      </c>
      <c r="E59" s="36">
        <f t="shared" ref="E59:F59" si="49">IF(B59=0,0,C59/B59)</f>
        <v>0</v>
      </c>
      <c r="F59" s="36">
        <f t="shared" si="49"/>
        <v>0</v>
      </c>
      <c r="G59" s="39">
        <f>IFERROR(AVERAGEIF('Daily Input'!U103:U132,"&gt;0"),0)</f>
        <v>0</v>
      </c>
      <c r="H59" s="17">
        <f>MAX('Daily Input'!U103:U132)</f>
        <v>0</v>
      </c>
    </row>
    <row r="60" ht="15.75" customHeight="1">
      <c r="A60" s="38" t="s">
        <v>8</v>
      </c>
      <c r="B60" s="17">
        <f>'Daily Input'!X133</f>
        <v>0</v>
      </c>
      <c r="C60" s="17">
        <f>'Daily Input'!Y133</f>
        <v>0</v>
      </c>
      <c r="D60" s="17">
        <f>'Daily Input'!Z133</f>
        <v>0</v>
      </c>
      <c r="E60" s="36">
        <f t="shared" ref="E60:F60" si="50">IF(B60=0,0,C60/B60)</f>
        <v>0</v>
      </c>
      <c r="F60" s="36">
        <f t="shared" si="50"/>
        <v>0</v>
      </c>
      <c r="G60" s="39">
        <f>IFERROR(AVERAGEIF('Daily Input'!X103:X132,"&gt;0"),0)</f>
        <v>0</v>
      </c>
      <c r="H60" s="17">
        <f>MAX('Daily Input'!X103:X132)</f>
        <v>0</v>
      </c>
    </row>
    <row r="61" ht="15.75" customHeight="1">
      <c r="A61" s="38" t="s">
        <v>9</v>
      </c>
      <c r="B61" s="17">
        <f>'Daily Input'!AA133</f>
        <v>0</v>
      </c>
      <c r="C61" s="17">
        <f>'Daily Input'!AB133</f>
        <v>0</v>
      </c>
      <c r="D61" s="17">
        <f>'Daily Input'!AC133</f>
        <v>0</v>
      </c>
      <c r="E61" s="36">
        <f t="shared" ref="E61:F61" si="51">IF(B61=0,0,C61/B61)</f>
        <v>0</v>
      </c>
      <c r="F61" s="36">
        <f t="shared" si="51"/>
        <v>0</v>
      </c>
      <c r="G61" s="39">
        <f>IFERROR(AVERAGEIF('Daily Input'!AA103:AA132,"&gt;0"),0)</f>
        <v>0</v>
      </c>
      <c r="H61" s="17">
        <f>MAX('Daily Input'!AA103:AA132)</f>
        <v>0</v>
      </c>
    </row>
    <row r="62" ht="15.75" customHeight="1">
      <c r="A62" s="38" t="s">
        <v>10</v>
      </c>
      <c r="B62" s="17">
        <f>'Daily Input'!AD133</f>
        <v>0</v>
      </c>
      <c r="C62" s="17">
        <f>'Daily Input'!AE133</f>
        <v>0</v>
      </c>
      <c r="D62" s="17">
        <f>'Daily Input'!AF133</f>
        <v>0</v>
      </c>
      <c r="E62" s="36">
        <f t="shared" ref="E62:F62" si="52">IF(B62=0,0,C62/B62)</f>
        <v>0</v>
      </c>
      <c r="F62" s="36">
        <f t="shared" si="52"/>
        <v>0</v>
      </c>
      <c r="G62" s="39">
        <f>IFERROR(AVERAGEIF('Daily Input'!AD103:AD132,"&gt;0"),0)</f>
        <v>0</v>
      </c>
      <c r="H62" s="17">
        <f>MAX('Daily Input'!AD103:AD132)</f>
        <v>0</v>
      </c>
    </row>
    <row r="63" ht="15.75" customHeight="1">
      <c r="A63" s="38" t="s">
        <v>11</v>
      </c>
      <c r="B63" s="17">
        <f>'Daily Input'!AG133</f>
        <v>0</v>
      </c>
      <c r="C63" s="17">
        <f>'Daily Input'!AH133</f>
        <v>0</v>
      </c>
      <c r="D63" s="17">
        <f>'Daily Input'!AI133</f>
        <v>0</v>
      </c>
      <c r="E63" s="36">
        <f t="shared" ref="E63:F63" si="53">IF(B63=0,0,C63/B63)</f>
        <v>0</v>
      </c>
      <c r="F63" s="36">
        <f t="shared" si="53"/>
        <v>0</v>
      </c>
      <c r="G63" s="39">
        <f>IFERROR(AVERAGEIF('Daily Input'!AG103:AG132,"&gt;0"),0)</f>
        <v>0</v>
      </c>
      <c r="H63" s="17">
        <f>MAX('Daily Input'!AG103:AG132)</f>
        <v>0</v>
      </c>
    </row>
    <row r="64" ht="15.75" customHeight="1">
      <c r="A64" s="38" t="s">
        <v>12</v>
      </c>
      <c r="B64" s="17">
        <f>'Daily Input'!AJ133</f>
        <v>0</v>
      </c>
      <c r="C64" s="17">
        <f>'Daily Input'!AK133</f>
        <v>0</v>
      </c>
      <c r="D64" s="17">
        <f>'Daily Input'!AL133</f>
        <v>0</v>
      </c>
      <c r="E64" s="36">
        <f t="shared" ref="E64:F64" si="54">IF(B64=0,0,C64/B64)</f>
        <v>0</v>
      </c>
      <c r="F64" s="36">
        <f t="shared" si="54"/>
        <v>0</v>
      </c>
      <c r="G64" s="39">
        <f>IFERROR(AVERAGEIF('Daily Input'!AJ103:AJ132,"&gt;0"),0)</f>
        <v>0</v>
      </c>
      <c r="H64" s="17">
        <f>MAX('Daily Input'!AJ103:AJ132)</f>
        <v>0</v>
      </c>
    </row>
    <row r="65" ht="15.75" customHeight="1">
      <c r="A65" s="40" t="s">
        <v>59</v>
      </c>
      <c r="B65" s="41">
        <f t="shared" ref="B65:D65" si="55">SUM(B53:B64)</f>
        <v>0</v>
      </c>
      <c r="C65" s="41">
        <f t="shared" si="55"/>
        <v>0</v>
      </c>
      <c r="D65" s="41">
        <f t="shared" si="55"/>
        <v>0</v>
      </c>
      <c r="E65" s="42">
        <f t="shared" ref="E65:F65" si="56">IF(B65=0,0,C65/B65)</f>
        <v>0</v>
      </c>
      <c r="F65" s="42">
        <f t="shared" si="56"/>
        <v>0</v>
      </c>
      <c r="G65" s="43">
        <f>IFERROR(AVERAGE(G53:G64),0)</f>
        <v>0</v>
      </c>
      <c r="H65" s="41">
        <f>MAX(H53:H64)</f>
        <v>0</v>
      </c>
    </row>
    <row r="66" ht="15.75" customHeight="1"/>
    <row r="67" ht="15.75" customHeight="1">
      <c r="A67" s="9" t="s">
        <v>36</v>
      </c>
      <c r="B67" s="4"/>
      <c r="C67" s="4"/>
      <c r="D67" s="4"/>
      <c r="E67" s="4"/>
      <c r="F67" s="4"/>
      <c r="G67" s="4"/>
      <c r="H67" s="5"/>
    </row>
    <row r="68" ht="15.75" customHeight="1">
      <c r="A68" s="34" t="s">
        <v>55</v>
      </c>
      <c r="B68" s="34" t="s">
        <v>16</v>
      </c>
      <c r="C68" s="34" t="s">
        <v>17</v>
      </c>
      <c r="D68" s="34" t="s">
        <v>56</v>
      </c>
      <c r="E68" s="34" t="s">
        <v>57</v>
      </c>
      <c r="F68" s="34" t="s">
        <v>58</v>
      </c>
      <c r="G68" s="34" t="s">
        <v>113</v>
      </c>
      <c r="H68" s="34" t="s">
        <v>114</v>
      </c>
    </row>
    <row r="69" ht="15.75" customHeight="1">
      <c r="A69" s="38" t="s">
        <v>1</v>
      </c>
      <c r="B69" s="17">
        <f>'Daily Input'!C167</f>
        <v>0</v>
      </c>
      <c r="C69" s="17">
        <f>'Daily Input'!D167</f>
        <v>0</v>
      </c>
      <c r="D69" s="17">
        <f>'Daily Input'!E167</f>
        <v>0</v>
      </c>
      <c r="E69" s="36">
        <f t="shared" ref="E69:F69" si="57">IF(B69=0,0,C69/B69)</f>
        <v>0</v>
      </c>
      <c r="F69" s="36">
        <f t="shared" si="57"/>
        <v>0</v>
      </c>
      <c r="G69" s="39">
        <f>IFERROR(AVERAGEIF('Daily Input'!C136:C166,"&gt;0"),0)</f>
        <v>0</v>
      </c>
      <c r="H69" s="17">
        <f>MAX('Daily Input'!C136:C166)</f>
        <v>0</v>
      </c>
    </row>
    <row r="70" ht="15.75" customHeight="1">
      <c r="A70" s="38" t="s">
        <v>2</v>
      </c>
      <c r="B70" s="17">
        <f>'Daily Input'!F167</f>
        <v>0</v>
      </c>
      <c r="C70" s="17">
        <f>'Daily Input'!G167</f>
        <v>0</v>
      </c>
      <c r="D70" s="17">
        <f>'Daily Input'!H167</f>
        <v>0</v>
      </c>
      <c r="E70" s="36">
        <f t="shared" ref="E70:F70" si="58">IF(B70=0,0,C70/B70)</f>
        <v>0</v>
      </c>
      <c r="F70" s="36">
        <f t="shared" si="58"/>
        <v>0</v>
      </c>
      <c r="G70" s="39">
        <f>IFERROR(AVERAGEIF('Daily Input'!F136:F166,"&gt;0"),0)</f>
        <v>0</v>
      </c>
      <c r="H70" s="17">
        <f>MAX('Daily Input'!F136:F166)</f>
        <v>0</v>
      </c>
    </row>
    <row r="71" ht="15.75" customHeight="1">
      <c r="A71" s="38" t="s">
        <v>3</v>
      </c>
      <c r="B71" s="17">
        <f>'Daily Input'!I167</f>
        <v>0</v>
      </c>
      <c r="C71" s="17">
        <f>'Daily Input'!J167</f>
        <v>0</v>
      </c>
      <c r="D71" s="17">
        <f>'Daily Input'!K167</f>
        <v>0</v>
      </c>
      <c r="E71" s="36">
        <f t="shared" ref="E71:F71" si="59">IF(B71=0,0,C71/B71)</f>
        <v>0</v>
      </c>
      <c r="F71" s="36">
        <f t="shared" si="59"/>
        <v>0</v>
      </c>
      <c r="G71" s="39">
        <f>IFERROR(AVERAGEIF('Daily Input'!I136:I166,"&gt;0"),0)</f>
        <v>0</v>
      </c>
      <c r="H71" s="17">
        <f>MAX('Daily Input'!I136:I166)</f>
        <v>0</v>
      </c>
    </row>
    <row r="72" ht="15.75" customHeight="1">
      <c r="A72" s="38" t="s">
        <v>4</v>
      </c>
      <c r="B72" s="17">
        <f>'Daily Input'!L167</f>
        <v>0</v>
      </c>
      <c r="C72" s="17">
        <f>'Daily Input'!M167</f>
        <v>0</v>
      </c>
      <c r="D72" s="17">
        <f>'Daily Input'!N167</f>
        <v>0</v>
      </c>
      <c r="E72" s="36">
        <f t="shared" ref="E72:F72" si="60">IF(B72=0,0,C72/B72)</f>
        <v>0</v>
      </c>
      <c r="F72" s="36">
        <f t="shared" si="60"/>
        <v>0</v>
      </c>
      <c r="G72" s="39">
        <f>IFERROR(AVERAGEIF('Daily Input'!L136:L166,"&gt;0"),0)</f>
        <v>0</v>
      </c>
      <c r="H72" s="17">
        <f>MAX('Daily Input'!L136:L166)</f>
        <v>0</v>
      </c>
    </row>
    <row r="73" ht="15.75" customHeight="1">
      <c r="A73" s="38" t="s">
        <v>5</v>
      </c>
      <c r="B73" s="17">
        <f>'Daily Input'!O167</f>
        <v>0</v>
      </c>
      <c r="C73" s="17">
        <f>'Daily Input'!P167</f>
        <v>0</v>
      </c>
      <c r="D73" s="17">
        <f>'Daily Input'!Q167</f>
        <v>0</v>
      </c>
      <c r="E73" s="36">
        <f t="shared" ref="E73:F73" si="61">IF(B73=0,0,C73/B73)</f>
        <v>0</v>
      </c>
      <c r="F73" s="36">
        <f t="shared" si="61"/>
        <v>0</v>
      </c>
      <c r="G73" s="39">
        <f>IFERROR(AVERAGEIF('Daily Input'!O136:O166,"&gt;0"),0)</f>
        <v>0</v>
      </c>
      <c r="H73" s="17">
        <f>MAX('Daily Input'!O136:O166)</f>
        <v>0</v>
      </c>
    </row>
    <row r="74" ht="15.75" customHeight="1">
      <c r="A74" s="38" t="s">
        <v>6</v>
      </c>
      <c r="B74" s="17">
        <f>'Daily Input'!R167</f>
        <v>0</v>
      </c>
      <c r="C74" s="17">
        <f>'Daily Input'!S167</f>
        <v>0</v>
      </c>
      <c r="D74" s="17">
        <f>'Daily Input'!T167</f>
        <v>0</v>
      </c>
      <c r="E74" s="36">
        <f t="shared" ref="E74:F74" si="62">IF(B74=0,0,C74/B74)</f>
        <v>0</v>
      </c>
      <c r="F74" s="36">
        <f t="shared" si="62"/>
        <v>0</v>
      </c>
      <c r="G74" s="39">
        <f>IFERROR(AVERAGEIF('Daily Input'!R136:R166,"&gt;0"),0)</f>
        <v>0</v>
      </c>
      <c r="H74" s="17">
        <f>MAX('Daily Input'!R136:R166)</f>
        <v>0</v>
      </c>
    </row>
    <row r="75" ht="15.75" customHeight="1">
      <c r="A75" s="38" t="s">
        <v>7</v>
      </c>
      <c r="B75" s="17">
        <f>'Daily Input'!U167</f>
        <v>0</v>
      </c>
      <c r="C75" s="17">
        <f>'Daily Input'!V167</f>
        <v>0</v>
      </c>
      <c r="D75" s="17">
        <f>'Daily Input'!W167</f>
        <v>0</v>
      </c>
      <c r="E75" s="36">
        <f t="shared" ref="E75:F75" si="63">IF(B75=0,0,C75/B75)</f>
        <v>0</v>
      </c>
      <c r="F75" s="36">
        <f t="shared" si="63"/>
        <v>0</v>
      </c>
      <c r="G75" s="39">
        <f>IFERROR(AVERAGEIF('Daily Input'!U136:U166,"&gt;0"),0)</f>
        <v>0</v>
      </c>
      <c r="H75" s="17">
        <f>MAX('Daily Input'!U136:U166)</f>
        <v>0</v>
      </c>
    </row>
    <row r="76" ht="15.75" customHeight="1">
      <c r="A76" s="38" t="s">
        <v>8</v>
      </c>
      <c r="B76" s="17">
        <f>'Daily Input'!X167</f>
        <v>0</v>
      </c>
      <c r="C76" s="17">
        <f>'Daily Input'!Y167</f>
        <v>0</v>
      </c>
      <c r="D76" s="17">
        <f>'Daily Input'!Z167</f>
        <v>0</v>
      </c>
      <c r="E76" s="36">
        <f t="shared" ref="E76:F76" si="64">IF(B76=0,0,C76/B76)</f>
        <v>0</v>
      </c>
      <c r="F76" s="36">
        <f t="shared" si="64"/>
        <v>0</v>
      </c>
      <c r="G76" s="39">
        <f>IFERROR(AVERAGEIF('Daily Input'!X136:X166,"&gt;0"),0)</f>
        <v>0</v>
      </c>
      <c r="H76" s="17">
        <f>MAX('Daily Input'!X136:X166)</f>
        <v>0</v>
      </c>
    </row>
    <row r="77" ht="15.75" customHeight="1">
      <c r="A77" s="38" t="s">
        <v>9</v>
      </c>
      <c r="B77" s="17">
        <f>'Daily Input'!AA167</f>
        <v>0</v>
      </c>
      <c r="C77" s="17">
        <f>'Daily Input'!AB167</f>
        <v>0</v>
      </c>
      <c r="D77" s="17">
        <f>'Daily Input'!AC167</f>
        <v>0</v>
      </c>
      <c r="E77" s="36">
        <f t="shared" ref="E77:F77" si="65">IF(B77=0,0,C77/B77)</f>
        <v>0</v>
      </c>
      <c r="F77" s="36">
        <f t="shared" si="65"/>
        <v>0</v>
      </c>
      <c r="G77" s="39">
        <f>IFERROR(AVERAGEIF('Daily Input'!AA136:AA166,"&gt;0"),0)</f>
        <v>0</v>
      </c>
      <c r="H77" s="17">
        <f>MAX('Daily Input'!AA136:AA166)</f>
        <v>0</v>
      </c>
    </row>
    <row r="78" ht="15.75" customHeight="1">
      <c r="A78" s="38" t="s">
        <v>10</v>
      </c>
      <c r="B78" s="17">
        <f>'Daily Input'!AD167</f>
        <v>0</v>
      </c>
      <c r="C78" s="17">
        <f>'Daily Input'!AE167</f>
        <v>0</v>
      </c>
      <c r="D78" s="17">
        <f>'Daily Input'!AF167</f>
        <v>0</v>
      </c>
      <c r="E78" s="36">
        <f t="shared" ref="E78:F78" si="66">IF(B78=0,0,C78/B78)</f>
        <v>0</v>
      </c>
      <c r="F78" s="36">
        <f t="shared" si="66"/>
        <v>0</v>
      </c>
      <c r="G78" s="39">
        <f>IFERROR(AVERAGEIF('Daily Input'!AD136:AD166,"&gt;0"),0)</f>
        <v>0</v>
      </c>
      <c r="H78" s="17">
        <f>MAX('Daily Input'!AD136:AD166)</f>
        <v>0</v>
      </c>
    </row>
    <row r="79" ht="15.75" customHeight="1">
      <c r="A79" s="38" t="s">
        <v>11</v>
      </c>
      <c r="B79" s="17">
        <f>'Daily Input'!AG167</f>
        <v>0</v>
      </c>
      <c r="C79" s="17">
        <f>'Daily Input'!AH167</f>
        <v>0</v>
      </c>
      <c r="D79" s="17">
        <f>'Daily Input'!AI167</f>
        <v>0</v>
      </c>
      <c r="E79" s="36">
        <f t="shared" ref="E79:F79" si="67">IF(B79=0,0,C79/B79)</f>
        <v>0</v>
      </c>
      <c r="F79" s="36">
        <f t="shared" si="67"/>
        <v>0</v>
      </c>
      <c r="G79" s="39">
        <f>IFERROR(AVERAGEIF('Daily Input'!AG136:AG166,"&gt;0"),0)</f>
        <v>0</v>
      </c>
      <c r="H79" s="17">
        <f>MAX('Daily Input'!AG136:AG166)</f>
        <v>0</v>
      </c>
    </row>
    <row r="80" ht="15.75" customHeight="1">
      <c r="A80" s="38" t="s">
        <v>12</v>
      </c>
      <c r="B80" s="17">
        <f>'Daily Input'!AJ167</f>
        <v>0</v>
      </c>
      <c r="C80" s="17">
        <f>'Daily Input'!AK167</f>
        <v>0</v>
      </c>
      <c r="D80" s="17">
        <f>'Daily Input'!AL167</f>
        <v>0</v>
      </c>
      <c r="E80" s="36">
        <f t="shared" ref="E80:F80" si="68">IF(B80=0,0,C80/B80)</f>
        <v>0</v>
      </c>
      <c r="F80" s="36">
        <f t="shared" si="68"/>
        <v>0</v>
      </c>
      <c r="G80" s="39">
        <f>IFERROR(AVERAGEIF('Daily Input'!AJ136:AJ166,"&gt;0"),0)</f>
        <v>0</v>
      </c>
      <c r="H80" s="17">
        <f>MAX('Daily Input'!AJ136:AJ166)</f>
        <v>0</v>
      </c>
    </row>
    <row r="81" ht="15.75" customHeight="1">
      <c r="A81" s="40" t="s">
        <v>59</v>
      </c>
      <c r="B81" s="41">
        <f t="shared" ref="B81:D81" si="69">SUM(B69:B80)</f>
        <v>0</v>
      </c>
      <c r="C81" s="41">
        <f t="shared" si="69"/>
        <v>0</v>
      </c>
      <c r="D81" s="41">
        <f t="shared" si="69"/>
        <v>0</v>
      </c>
      <c r="E81" s="42">
        <f t="shared" ref="E81:F81" si="70">IF(B81=0,0,C81/B81)</f>
        <v>0</v>
      </c>
      <c r="F81" s="42">
        <f t="shared" si="70"/>
        <v>0</v>
      </c>
      <c r="G81" s="43">
        <f>IFERROR(AVERAGE(G69:G80),0)</f>
        <v>0</v>
      </c>
      <c r="H81" s="41">
        <f>MAX(H69:H80)</f>
        <v>0</v>
      </c>
    </row>
    <row r="82" ht="15.75" customHeight="1"/>
    <row r="83" ht="15.75" customHeight="1">
      <c r="A83" s="9" t="s">
        <v>38</v>
      </c>
      <c r="B83" s="4"/>
      <c r="C83" s="4"/>
      <c r="D83" s="4"/>
      <c r="E83" s="4"/>
      <c r="F83" s="4"/>
      <c r="G83" s="4"/>
      <c r="H83" s="5"/>
    </row>
    <row r="84" ht="15.75" customHeight="1">
      <c r="A84" s="34" t="s">
        <v>55</v>
      </c>
      <c r="B84" s="34" t="s">
        <v>16</v>
      </c>
      <c r="C84" s="34" t="s">
        <v>17</v>
      </c>
      <c r="D84" s="34" t="s">
        <v>56</v>
      </c>
      <c r="E84" s="34" t="s">
        <v>57</v>
      </c>
      <c r="F84" s="34" t="s">
        <v>58</v>
      </c>
      <c r="G84" s="34" t="s">
        <v>113</v>
      </c>
      <c r="H84" s="34" t="s">
        <v>114</v>
      </c>
    </row>
    <row r="85" ht="15.75" customHeight="1">
      <c r="A85" s="38" t="s">
        <v>1</v>
      </c>
      <c r="B85" s="17">
        <f>'Daily Input'!C200</f>
        <v>0</v>
      </c>
      <c r="C85" s="17">
        <f>'Daily Input'!D200</f>
        <v>0</v>
      </c>
      <c r="D85" s="17">
        <f>'Daily Input'!E200</f>
        <v>0</v>
      </c>
      <c r="E85" s="36">
        <f t="shared" ref="E85:F85" si="71">IF(B85=0,0,C85/B85)</f>
        <v>0</v>
      </c>
      <c r="F85" s="36">
        <f t="shared" si="71"/>
        <v>0</v>
      </c>
      <c r="G85" s="39">
        <f>IFERROR(AVERAGEIF('Daily Input'!C170:C199,"&gt;0"),0)</f>
        <v>0</v>
      </c>
      <c r="H85" s="17">
        <f>MAX('Daily Input'!C170:C199)</f>
        <v>0</v>
      </c>
    </row>
    <row r="86" ht="15.75" customHeight="1">
      <c r="A86" s="38" t="s">
        <v>2</v>
      </c>
      <c r="B86" s="17">
        <f>'Daily Input'!F200</f>
        <v>0</v>
      </c>
      <c r="C86" s="17">
        <f>'Daily Input'!G200</f>
        <v>0</v>
      </c>
      <c r="D86" s="17">
        <f>'Daily Input'!H200</f>
        <v>0</v>
      </c>
      <c r="E86" s="36">
        <f t="shared" ref="E86:F86" si="72">IF(B86=0,0,C86/B86)</f>
        <v>0</v>
      </c>
      <c r="F86" s="36">
        <f t="shared" si="72"/>
        <v>0</v>
      </c>
      <c r="G86" s="39">
        <f>IFERROR(AVERAGEIF('Daily Input'!F170:F199,"&gt;0"),0)</f>
        <v>0</v>
      </c>
      <c r="H86" s="17">
        <f>MAX('Daily Input'!F170:F199)</f>
        <v>0</v>
      </c>
    </row>
    <row r="87" ht="15.75" customHeight="1">
      <c r="A87" s="38" t="s">
        <v>3</v>
      </c>
      <c r="B87" s="17">
        <f>'Daily Input'!I200</f>
        <v>0</v>
      </c>
      <c r="C87" s="17">
        <f>'Daily Input'!J200</f>
        <v>0</v>
      </c>
      <c r="D87" s="17">
        <f>'Daily Input'!K200</f>
        <v>0</v>
      </c>
      <c r="E87" s="36">
        <f t="shared" ref="E87:F87" si="73">IF(B87=0,0,C87/B87)</f>
        <v>0</v>
      </c>
      <c r="F87" s="36">
        <f t="shared" si="73"/>
        <v>0</v>
      </c>
      <c r="G87" s="39">
        <f>IFERROR(AVERAGEIF('Daily Input'!I170:I199,"&gt;0"),0)</f>
        <v>0</v>
      </c>
      <c r="H87" s="17">
        <f>MAX('Daily Input'!I170:I199)</f>
        <v>0</v>
      </c>
    </row>
    <row r="88" ht="15.75" customHeight="1">
      <c r="A88" s="38" t="s">
        <v>4</v>
      </c>
      <c r="B88" s="17">
        <f>'Daily Input'!L200</f>
        <v>0</v>
      </c>
      <c r="C88" s="17">
        <f>'Daily Input'!M200</f>
        <v>0</v>
      </c>
      <c r="D88" s="17">
        <f>'Daily Input'!N200</f>
        <v>0</v>
      </c>
      <c r="E88" s="36">
        <f t="shared" ref="E88:F88" si="74">IF(B88=0,0,C88/B88)</f>
        <v>0</v>
      </c>
      <c r="F88" s="36">
        <f t="shared" si="74"/>
        <v>0</v>
      </c>
      <c r="G88" s="39">
        <f>IFERROR(AVERAGEIF('Daily Input'!L170:L199,"&gt;0"),0)</f>
        <v>0</v>
      </c>
      <c r="H88" s="17">
        <f>MAX('Daily Input'!L170:L199)</f>
        <v>0</v>
      </c>
    </row>
    <row r="89" ht="15.75" customHeight="1">
      <c r="A89" s="38" t="s">
        <v>5</v>
      </c>
      <c r="B89" s="17">
        <f>'Daily Input'!O200</f>
        <v>0</v>
      </c>
      <c r="C89" s="17">
        <f>'Daily Input'!P200</f>
        <v>0</v>
      </c>
      <c r="D89" s="17">
        <f>'Daily Input'!Q200</f>
        <v>0</v>
      </c>
      <c r="E89" s="36">
        <f t="shared" ref="E89:F89" si="75">IF(B89=0,0,C89/B89)</f>
        <v>0</v>
      </c>
      <c r="F89" s="36">
        <f t="shared" si="75"/>
        <v>0</v>
      </c>
      <c r="G89" s="39">
        <f>IFERROR(AVERAGEIF('Daily Input'!O170:O199,"&gt;0"),0)</f>
        <v>0</v>
      </c>
      <c r="H89" s="17">
        <f>MAX('Daily Input'!O170:O199)</f>
        <v>0</v>
      </c>
    </row>
    <row r="90" ht="15.75" customHeight="1">
      <c r="A90" s="38" t="s">
        <v>6</v>
      </c>
      <c r="B90" s="17">
        <f>'Daily Input'!R200</f>
        <v>0</v>
      </c>
      <c r="C90" s="17">
        <f>'Daily Input'!S200</f>
        <v>0</v>
      </c>
      <c r="D90" s="17">
        <f>'Daily Input'!T200</f>
        <v>0</v>
      </c>
      <c r="E90" s="36">
        <f t="shared" ref="E90:F90" si="76">IF(B90=0,0,C90/B90)</f>
        <v>0</v>
      </c>
      <c r="F90" s="36">
        <f t="shared" si="76"/>
        <v>0</v>
      </c>
      <c r="G90" s="39">
        <f>IFERROR(AVERAGEIF('Daily Input'!R170:R199,"&gt;0"),0)</f>
        <v>0</v>
      </c>
      <c r="H90" s="17">
        <f>MAX('Daily Input'!R170:R199)</f>
        <v>0</v>
      </c>
    </row>
    <row r="91" ht="15.75" customHeight="1">
      <c r="A91" s="38" t="s">
        <v>7</v>
      </c>
      <c r="B91" s="17">
        <f>'Daily Input'!U200</f>
        <v>0</v>
      </c>
      <c r="C91" s="17">
        <f>'Daily Input'!V200</f>
        <v>0</v>
      </c>
      <c r="D91" s="17">
        <f>'Daily Input'!W200</f>
        <v>0</v>
      </c>
      <c r="E91" s="36">
        <f t="shared" ref="E91:F91" si="77">IF(B91=0,0,C91/B91)</f>
        <v>0</v>
      </c>
      <c r="F91" s="36">
        <f t="shared" si="77"/>
        <v>0</v>
      </c>
      <c r="G91" s="39">
        <f>IFERROR(AVERAGEIF('Daily Input'!U170:U199,"&gt;0"),0)</f>
        <v>0</v>
      </c>
      <c r="H91" s="17">
        <f>MAX('Daily Input'!U170:U199)</f>
        <v>0</v>
      </c>
    </row>
    <row r="92" ht="15.75" customHeight="1">
      <c r="A92" s="38" t="s">
        <v>8</v>
      </c>
      <c r="B92" s="17">
        <f>'Daily Input'!X200</f>
        <v>0</v>
      </c>
      <c r="C92" s="17">
        <f>'Daily Input'!Y200</f>
        <v>0</v>
      </c>
      <c r="D92" s="17">
        <f>'Daily Input'!Z200</f>
        <v>0</v>
      </c>
      <c r="E92" s="36">
        <f t="shared" ref="E92:F92" si="78">IF(B92=0,0,C92/B92)</f>
        <v>0</v>
      </c>
      <c r="F92" s="36">
        <f t="shared" si="78"/>
        <v>0</v>
      </c>
      <c r="G92" s="39">
        <f>IFERROR(AVERAGEIF('Daily Input'!X170:X199,"&gt;0"),0)</f>
        <v>0</v>
      </c>
      <c r="H92" s="17">
        <f>MAX('Daily Input'!X170:X199)</f>
        <v>0</v>
      </c>
    </row>
    <row r="93" ht="15.75" customHeight="1">
      <c r="A93" s="38" t="s">
        <v>9</v>
      </c>
      <c r="B93" s="17">
        <f>'Daily Input'!AA200</f>
        <v>0</v>
      </c>
      <c r="C93" s="17">
        <f>'Daily Input'!AB200</f>
        <v>0</v>
      </c>
      <c r="D93" s="17">
        <f>'Daily Input'!AC200</f>
        <v>0</v>
      </c>
      <c r="E93" s="36">
        <f t="shared" ref="E93:F93" si="79">IF(B93=0,0,C93/B93)</f>
        <v>0</v>
      </c>
      <c r="F93" s="36">
        <f t="shared" si="79"/>
        <v>0</v>
      </c>
      <c r="G93" s="39">
        <f>IFERROR(AVERAGEIF('Daily Input'!AA170:AA199,"&gt;0"),0)</f>
        <v>0</v>
      </c>
      <c r="H93" s="17">
        <f>MAX('Daily Input'!AA170:AA199)</f>
        <v>0</v>
      </c>
    </row>
    <row r="94" ht="15.75" customHeight="1">
      <c r="A94" s="38" t="s">
        <v>10</v>
      </c>
      <c r="B94" s="17">
        <f>'Daily Input'!AD200</f>
        <v>0</v>
      </c>
      <c r="C94" s="17">
        <f>'Daily Input'!AE200</f>
        <v>0</v>
      </c>
      <c r="D94" s="17">
        <f>'Daily Input'!AF200</f>
        <v>0</v>
      </c>
      <c r="E94" s="36">
        <f t="shared" ref="E94:F94" si="80">IF(B94=0,0,C94/B94)</f>
        <v>0</v>
      </c>
      <c r="F94" s="36">
        <f t="shared" si="80"/>
        <v>0</v>
      </c>
      <c r="G94" s="39">
        <f>IFERROR(AVERAGEIF('Daily Input'!AD170:AD199,"&gt;0"),0)</f>
        <v>0</v>
      </c>
      <c r="H94" s="17">
        <f>MAX('Daily Input'!AD170:AD199)</f>
        <v>0</v>
      </c>
    </row>
    <row r="95" ht="15.75" customHeight="1">
      <c r="A95" s="38" t="s">
        <v>11</v>
      </c>
      <c r="B95" s="17">
        <f>'Daily Input'!AG200</f>
        <v>0</v>
      </c>
      <c r="C95" s="17">
        <f>'Daily Input'!AH200</f>
        <v>0</v>
      </c>
      <c r="D95" s="17">
        <f>'Daily Input'!AI200</f>
        <v>0</v>
      </c>
      <c r="E95" s="36">
        <f t="shared" ref="E95:F95" si="81">IF(B95=0,0,C95/B95)</f>
        <v>0</v>
      </c>
      <c r="F95" s="36">
        <f t="shared" si="81"/>
        <v>0</v>
      </c>
      <c r="G95" s="39">
        <f>IFERROR(AVERAGEIF('Daily Input'!AG170:AG199,"&gt;0"),0)</f>
        <v>0</v>
      </c>
      <c r="H95" s="17">
        <f>MAX('Daily Input'!AG170:AG199)</f>
        <v>0</v>
      </c>
    </row>
    <row r="96" ht="15.75" customHeight="1">
      <c r="A96" s="38" t="s">
        <v>12</v>
      </c>
      <c r="B96" s="17">
        <f>'Daily Input'!AJ200</f>
        <v>0</v>
      </c>
      <c r="C96" s="17">
        <f>'Daily Input'!AK200</f>
        <v>0</v>
      </c>
      <c r="D96" s="17">
        <f>'Daily Input'!AL200</f>
        <v>0</v>
      </c>
      <c r="E96" s="36">
        <f t="shared" ref="E96:F96" si="82">IF(B96=0,0,C96/B96)</f>
        <v>0</v>
      </c>
      <c r="F96" s="36">
        <f t="shared" si="82"/>
        <v>0</v>
      </c>
      <c r="G96" s="39">
        <f>IFERROR(AVERAGEIF('Daily Input'!AJ170:AJ199,"&gt;0"),0)</f>
        <v>0</v>
      </c>
      <c r="H96" s="17">
        <f>MAX('Daily Input'!AJ170:AJ199)</f>
        <v>0</v>
      </c>
    </row>
    <row r="97" ht="15.75" customHeight="1">
      <c r="A97" s="40" t="s">
        <v>59</v>
      </c>
      <c r="B97" s="41">
        <f t="shared" ref="B97:D97" si="83">SUM(B85:B96)</f>
        <v>0</v>
      </c>
      <c r="C97" s="41">
        <f t="shared" si="83"/>
        <v>0</v>
      </c>
      <c r="D97" s="41">
        <f t="shared" si="83"/>
        <v>0</v>
      </c>
      <c r="E97" s="42">
        <f t="shared" ref="E97:F97" si="84">IF(B97=0,0,C97/B97)</f>
        <v>0</v>
      </c>
      <c r="F97" s="42">
        <f t="shared" si="84"/>
        <v>0</v>
      </c>
      <c r="G97" s="43">
        <f>IFERROR(AVERAGE(G85:G96),0)</f>
        <v>0</v>
      </c>
      <c r="H97" s="41">
        <f>MAX(H85:H96)</f>
        <v>0</v>
      </c>
    </row>
    <row r="98" ht="15.75" customHeight="1"/>
    <row r="99" ht="15.75" customHeight="1">
      <c r="A99" s="9" t="s">
        <v>40</v>
      </c>
      <c r="B99" s="4"/>
      <c r="C99" s="4"/>
      <c r="D99" s="4"/>
      <c r="E99" s="4"/>
      <c r="F99" s="4"/>
      <c r="G99" s="4"/>
      <c r="H99" s="5"/>
    </row>
    <row r="100" ht="15.75" customHeight="1">
      <c r="A100" s="34" t="s">
        <v>55</v>
      </c>
      <c r="B100" s="34" t="s">
        <v>16</v>
      </c>
      <c r="C100" s="34" t="s">
        <v>17</v>
      </c>
      <c r="D100" s="34" t="s">
        <v>56</v>
      </c>
      <c r="E100" s="34" t="s">
        <v>57</v>
      </c>
      <c r="F100" s="34" t="s">
        <v>58</v>
      </c>
      <c r="G100" s="34" t="s">
        <v>113</v>
      </c>
      <c r="H100" s="34" t="s">
        <v>114</v>
      </c>
    </row>
    <row r="101" ht="15.75" customHeight="1">
      <c r="A101" s="38" t="s">
        <v>1</v>
      </c>
      <c r="B101" s="17">
        <f>'Daily Input'!C234</f>
        <v>0</v>
      </c>
      <c r="C101" s="17">
        <f>'Daily Input'!D234</f>
        <v>0</v>
      </c>
      <c r="D101" s="17">
        <f>'Daily Input'!E234</f>
        <v>0</v>
      </c>
      <c r="E101" s="36">
        <f t="shared" ref="E101:F101" si="85">IF(B101=0,0,C101/B101)</f>
        <v>0</v>
      </c>
      <c r="F101" s="36">
        <f t="shared" si="85"/>
        <v>0</v>
      </c>
      <c r="G101" s="39">
        <f>IFERROR(AVERAGEIF('Daily Input'!C203:C233,"&gt;0"),0)</f>
        <v>0</v>
      </c>
      <c r="H101" s="17">
        <f>MAX('Daily Input'!C203:C233)</f>
        <v>0</v>
      </c>
    </row>
    <row r="102" ht="15.75" customHeight="1">
      <c r="A102" s="38" t="s">
        <v>2</v>
      </c>
      <c r="B102" s="17">
        <f>'Daily Input'!F234</f>
        <v>0</v>
      </c>
      <c r="C102" s="17">
        <f>'Daily Input'!G234</f>
        <v>0</v>
      </c>
      <c r="D102" s="17">
        <f>'Daily Input'!H234</f>
        <v>0</v>
      </c>
      <c r="E102" s="36">
        <f t="shared" ref="E102:F102" si="86">IF(B102=0,0,C102/B102)</f>
        <v>0</v>
      </c>
      <c r="F102" s="36">
        <f t="shared" si="86"/>
        <v>0</v>
      </c>
      <c r="G102" s="39">
        <f>IFERROR(AVERAGEIF('Daily Input'!F203:F233,"&gt;0"),0)</f>
        <v>0</v>
      </c>
      <c r="H102" s="17">
        <f>MAX('Daily Input'!F203:F233)</f>
        <v>0</v>
      </c>
    </row>
    <row r="103" ht="15.75" customHeight="1">
      <c r="A103" s="38" t="s">
        <v>3</v>
      </c>
      <c r="B103" s="17">
        <f>'Daily Input'!I234</f>
        <v>0</v>
      </c>
      <c r="C103" s="17">
        <f>'Daily Input'!J234</f>
        <v>0</v>
      </c>
      <c r="D103" s="17">
        <f>'Daily Input'!K234</f>
        <v>0</v>
      </c>
      <c r="E103" s="36">
        <f t="shared" ref="E103:F103" si="87">IF(B103=0,0,C103/B103)</f>
        <v>0</v>
      </c>
      <c r="F103" s="36">
        <f t="shared" si="87"/>
        <v>0</v>
      </c>
      <c r="G103" s="39">
        <f>IFERROR(AVERAGEIF('Daily Input'!I203:I233,"&gt;0"),0)</f>
        <v>0</v>
      </c>
      <c r="H103" s="17">
        <f>MAX('Daily Input'!I203:I233)</f>
        <v>0</v>
      </c>
    </row>
    <row r="104" ht="15.75" customHeight="1">
      <c r="A104" s="38" t="s">
        <v>4</v>
      </c>
      <c r="B104" s="17">
        <f>'Daily Input'!L234</f>
        <v>0</v>
      </c>
      <c r="C104" s="17">
        <f>'Daily Input'!M234</f>
        <v>0</v>
      </c>
      <c r="D104" s="17">
        <f>'Daily Input'!N234</f>
        <v>0</v>
      </c>
      <c r="E104" s="36">
        <f t="shared" ref="E104:F104" si="88">IF(B104=0,0,C104/B104)</f>
        <v>0</v>
      </c>
      <c r="F104" s="36">
        <f t="shared" si="88"/>
        <v>0</v>
      </c>
      <c r="G104" s="39">
        <f>IFERROR(AVERAGEIF('Daily Input'!L203:L233,"&gt;0"),0)</f>
        <v>0</v>
      </c>
      <c r="H104" s="17">
        <f>MAX('Daily Input'!L203:L233)</f>
        <v>0</v>
      </c>
    </row>
    <row r="105" ht="15.75" customHeight="1">
      <c r="A105" s="38" t="s">
        <v>5</v>
      </c>
      <c r="B105" s="17">
        <f>'Daily Input'!O234</f>
        <v>0</v>
      </c>
      <c r="C105" s="17">
        <f>'Daily Input'!P234</f>
        <v>0</v>
      </c>
      <c r="D105" s="17">
        <f>'Daily Input'!Q234</f>
        <v>0</v>
      </c>
      <c r="E105" s="36">
        <f t="shared" ref="E105:F105" si="89">IF(B105=0,0,C105/B105)</f>
        <v>0</v>
      </c>
      <c r="F105" s="36">
        <f t="shared" si="89"/>
        <v>0</v>
      </c>
      <c r="G105" s="39">
        <f>IFERROR(AVERAGEIF('Daily Input'!O203:O233,"&gt;0"),0)</f>
        <v>0</v>
      </c>
      <c r="H105" s="17">
        <f>MAX('Daily Input'!O203:O233)</f>
        <v>0</v>
      </c>
    </row>
    <row r="106" ht="15.75" customHeight="1">
      <c r="A106" s="38" t="s">
        <v>6</v>
      </c>
      <c r="B106" s="17">
        <f>'Daily Input'!R234</f>
        <v>0</v>
      </c>
      <c r="C106" s="17">
        <f>'Daily Input'!S234</f>
        <v>0</v>
      </c>
      <c r="D106" s="17">
        <f>'Daily Input'!T234</f>
        <v>0</v>
      </c>
      <c r="E106" s="36">
        <f t="shared" ref="E106:F106" si="90">IF(B106=0,0,C106/B106)</f>
        <v>0</v>
      </c>
      <c r="F106" s="36">
        <f t="shared" si="90"/>
        <v>0</v>
      </c>
      <c r="G106" s="39">
        <f>IFERROR(AVERAGEIF('Daily Input'!R203:R233,"&gt;0"),0)</f>
        <v>0</v>
      </c>
      <c r="H106" s="17">
        <f>MAX('Daily Input'!R203:R233)</f>
        <v>0</v>
      </c>
    </row>
    <row r="107" ht="15.75" customHeight="1">
      <c r="A107" s="38" t="s">
        <v>7</v>
      </c>
      <c r="B107" s="17">
        <f>'Daily Input'!U234</f>
        <v>0</v>
      </c>
      <c r="C107" s="17">
        <f>'Daily Input'!V234</f>
        <v>0</v>
      </c>
      <c r="D107" s="17">
        <f>'Daily Input'!W234</f>
        <v>0</v>
      </c>
      <c r="E107" s="36">
        <f t="shared" ref="E107:F107" si="91">IF(B107=0,0,C107/B107)</f>
        <v>0</v>
      </c>
      <c r="F107" s="36">
        <f t="shared" si="91"/>
        <v>0</v>
      </c>
      <c r="G107" s="39">
        <f>IFERROR(AVERAGEIF('Daily Input'!U203:U233,"&gt;0"),0)</f>
        <v>0</v>
      </c>
      <c r="H107" s="17">
        <f>MAX('Daily Input'!U203:U233)</f>
        <v>0</v>
      </c>
    </row>
    <row r="108" ht="15.75" customHeight="1">
      <c r="A108" s="38" t="s">
        <v>8</v>
      </c>
      <c r="B108" s="17">
        <f>'Daily Input'!X234</f>
        <v>0</v>
      </c>
      <c r="C108" s="17">
        <f>'Daily Input'!Y234</f>
        <v>0</v>
      </c>
      <c r="D108" s="17">
        <f>'Daily Input'!Z234</f>
        <v>0</v>
      </c>
      <c r="E108" s="36">
        <f t="shared" ref="E108:F108" si="92">IF(B108=0,0,C108/B108)</f>
        <v>0</v>
      </c>
      <c r="F108" s="36">
        <f t="shared" si="92"/>
        <v>0</v>
      </c>
      <c r="G108" s="39">
        <f>IFERROR(AVERAGEIF('Daily Input'!X203:X233,"&gt;0"),0)</f>
        <v>0</v>
      </c>
      <c r="H108" s="17">
        <f>MAX('Daily Input'!X203:X233)</f>
        <v>0</v>
      </c>
    </row>
    <row r="109" ht="15.75" customHeight="1">
      <c r="A109" s="38" t="s">
        <v>9</v>
      </c>
      <c r="B109" s="17">
        <f>'Daily Input'!AA234</f>
        <v>0</v>
      </c>
      <c r="C109" s="17">
        <f>'Daily Input'!AB234</f>
        <v>0</v>
      </c>
      <c r="D109" s="17">
        <f>'Daily Input'!AC234</f>
        <v>0</v>
      </c>
      <c r="E109" s="36">
        <f t="shared" ref="E109:F109" si="93">IF(B109=0,0,C109/B109)</f>
        <v>0</v>
      </c>
      <c r="F109" s="36">
        <f t="shared" si="93"/>
        <v>0</v>
      </c>
      <c r="G109" s="39">
        <f>IFERROR(AVERAGEIF('Daily Input'!AA203:AA233,"&gt;0"),0)</f>
        <v>0</v>
      </c>
      <c r="H109" s="17">
        <f>MAX('Daily Input'!AA203:AA233)</f>
        <v>0</v>
      </c>
    </row>
    <row r="110" ht="15.75" customHeight="1">
      <c r="A110" s="38" t="s">
        <v>10</v>
      </c>
      <c r="B110" s="17">
        <f>'Daily Input'!AD234</f>
        <v>0</v>
      </c>
      <c r="C110" s="17">
        <f>'Daily Input'!AE234</f>
        <v>0</v>
      </c>
      <c r="D110" s="17">
        <f>'Daily Input'!AF234</f>
        <v>0</v>
      </c>
      <c r="E110" s="36">
        <f t="shared" ref="E110:F110" si="94">IF(B110=0,0,C110/B110)</f>
        <v>0</v>
      </c>
      <c r="F110" s="36">
        <f t="shared" si="94"/>
        <v>0</v>
      </c>
      <c r="G110" s="39">
        <f>IFERROR(AVERAGEIF('Daily Input'!AD203:AD233,"&gt;0"),0)</f>
        <v>0</v>
      </c>
      <c r="H110" s="17">
        <f>MAX('Daily Input'!AD203:AD233)</f>
        <v>0</v>
      </c>
    </row>
    <row r="111" ht="15.75" customHeight="1">
      <c r="A111" s="38" t="s">
        <v>11</v>
      </c>
      <c r="B111" s="17">
        <f>'Daily Input'!AG234</f>
        <v>0</v>
      </c>
      <c r="C111" s="17">
        <f>'Daily Input'!AH234</f>
        <v>0</v>
      </c>
      <c r="D111" s="17">
        <f>'Daily Input'!AI234</f>
        <v>0</v>
      </c>
      <c r="E111" s="36">
        <f t="shared" ref="E111:F111" si="95">IF(B111=0,0,C111/B111)</f>
        <v>0</v>
      </c>
      <c r="F111" s="36">
        <f t="shared" si="95"/>
        <v>0</v>
      </c>
      <c r="G111" s="39">
        <f>IFERROR(AVERAGEIF('Daily Input'!AG203:AG233,"&gt;0"),0)</f>
        <v>0</v>
      </c>
      <c r="H111" s="17">
        <f>MAX('Daily Input'!AG203:AG233)</f>
        <v>0</v>
      </c>
    </row>
    <row r="112" ht="15.75" customHeight="1">
      <c r="A112" s="38" t="s">
        <v>12</v>
      </c>
      <c r="B112" s="17">
        <f>'Daily Input'!AJ234</f>
        <v>0</v>
      </c>
      <c r="C112" s="17">
        <f>'Daily Input'!AK234</f>
        <v>0</v>
      </c>
      <c r="D112" s="17">
        <f>'Daily Input'!AL234</f>
        <v>0</v>
      </c>
      <c r="E112" s="36">
        <f t="shared" ref="E112:F112" si="96">IF(B112=0,0,C112/B112)</f>
        <v>0</v>
      </c>
      <c r="F112" s="36">
        <f t="shared" si="96"/>
        <v>0</v>
      </c>
      <c r="G112" s="39">
        <f>IFERROR(AVERAGEIF('Daily Input'!AJ203:AJ233,"&gt;0"),0)</f>
        <v>0</v>
      </c>
      <c r="H112" s="17">
        <f>MAX('Daily Input'!AJ203:AJ233)</f>
        <v>0</v>
      </c>
    </row>
    <row r="113" ht="15.75" customHeight="1">
      <c r="A113" s="40" t="s">
        <v>59</v>
      </c>
      <c r="B113" s="41">
        <f t="shared" ref="B113:D113" si="97">SUM(B101:B112)</f>
        <v>0</v>
      </c>
      <c r="C113" s="41">
        <f t="shared" si="97"/>
        <v>0</v>
      </c>
      <c r="D113" s="41">
        <f t="shared" si="97"/>
        <v>0</v>
      </c>
      <c r="E113" s="42">
        <f t="shared" ref="E113:F113" si="98">IF(B113=0,0,C113/B113)</f>
        <v>0</v>
      </c>
      <c r="F113" s="42">
        <f t="shared" si="98"/>
        <v>0</v>
      </c>
      <c r="G113" s="43">
        <f>IFERROR(AVERAGE(G101:G112),0)</f>
        <v>0</v>
      </c>
      <c r="H113" s="41">
        <f>MAX(H101:H112)</f>
        <v>0</v>
      </c>
    </row>
    <row r="114" ht="15.75" customHeight="1"/>
    <row r="115" ht="15.75" customHeight="1">
      <c r="A115" s="9" t="s">
        <v>42</v>
      </c>
      <c r="B115" s="4"/>
      <c r="C115" s="4"/>
      <c r="D115" s="4"/>
      <c r="E115" s="4"/>
      <c r="F115" s="4"/>
      <c r="G115" s="4"/>
      <c r="H115" s="5"/>
    </row>
    <row r="116" ht="15.75" customHeight="1">
      <c r="A116" s="34" t="s">
        <v>55</v>
      </c>
      <c r="B116" s="34" t="s">
        <v>16</v>
      </c>
      <c r="C116" s="34" t="s">
        <v>17</v>
      </c>
      <c r="D116" s="34" t="s">
        <v>56</v>
      </c>
      <c r="E116" s="34" t="s">
        <v>57</v>
      </c>
      <c r="F116" s="34" t="s">
        <v>58</v>
      </c>
      <c r="G116" s="34" t="s">
        <v>113</v>
      </c>
      <c r="H116" s="34" t="s">
        <v>114</v>
      </c>
    </row>
    <row r="117" ht="15.75" customHeight="1">
      <c r="A117" s="38" t="s">
        <v>1</v>
      </c>
      <c r="B117" s="17">
        <f>'Daily Input'!C268</f>
        <v>0</v>
      </c>
      <c r="C117" s="17">
        <f>'Daily Input'!D268</f>
        <v>0</v>
      </c>
      <c r="D117" s="17">
        <f>'Daily Input'!E268</f>
        <v>0</v>
      </c>
      <c r="E117" s="36">
        <f t="shared" ref="E117:F117" si="99">IF(B117=0,0,C117/B117)</f>
        <v>0</v>
      </c>
      <c r="F117" s="36">
        <f t="shared" si="99"/>
        <v>0</v>
      </c>
      <c r="G117" s="39">
        <f>IFERROR(AVERAGEIF('Daily Input'!C237:C267,"&gt;0"),0)</f>
        <v>0</v>
      </c>
      <c r="H117" s="17">
        <f>MAX('Daily Input'!C237:C267)</f>
        <v>0</v>
      </c>
    </row>
    <row r="118" ht="15.75" customHeight="1">
      <c r="A118" s="38" t="s">
        <v>2</v>
      </c>
      <c r="B118" s="17">
        <f>'Daily Input'!F268</f>
        <v>0</v>
      </c>
      <c r="C118" s="17">
        <f>'Daily Input'!G268</f>
        <v>0</v>
      </c>
      <c r="D118" s="17">
        <f>'Daily Input'!H268</f>
        <v>0</v>
      </c>
      <c r="E118" s="36">
        <f t="shared" ref="E118:F118" si="100">IF(B118=0,0,C118/B118)</f>
        <v>0</v>
      </c>
      <c r="F118" s="36">
        <f t="shared" si="100"/>
        <v>0</v>
      </c>
      <c r="G118" s="39">
        <f>IFERROR(AVERAGEIF('Daily Input'!F237:F267,"&gt;0"),0)</f>
        <v>0</v>
      </c>
      <c r="H118" s="17">
        <f>MAX('Daily Input'!F237:F267)</f>
        <v>0</v>
      </c>
    </row>
    <row r="119" ht="15.75" customHeight="1">
      <c r="A119" s="38" t="s">
        <v>3</v>
      </c>
      <c r="B119" s="17">
        <f>'Daily Input'!I268</f>
        <v>0</v>
      </c>
      <c r="C119" s="17">
        <f>'Daily Input'!J268</f>
        <v>0</v>
      </c>
      <c r="D119" s="17">
        <f>'Daily Input'!K268</f>
        <v>0</v>
      </c>
      <c r="E119" s="36">
        <f t="shared" ref="E119:F119" si="101">IF(B119=0,0,C119/B119)</f>
        <v>0</v>
      </c>
      <c r="F119" s="36">
        <f t="shared" si="101"/>
        <v>0</v>
      </c>
      <c r="G119" s="39">
        <f>IFERROR(AVERAGEIF('Daily Input'!I237:I267,"&gt;0"),0)</f>
        <v>0</v>
      </c>
      <c r="H119" s="17">
        <f>MAX('Daily Input'!I237:I267)</f>
        <v>0</v>
      </c>
    </row>
    <row r="120" ht="15.75" customHeight="1">
      <c r="A120" s="38" t="s">
        <v>4</v>
      </c>
      <c r="B120" s="17">
        <f>'Daily Input'!L268</f>
        <v>0</v>
      </c>
      <c r="C120" s="17">
        <f>'Daily Input'!M268</f>
        <v>0</v>
      </c>
      <c r="D120" s="17">
        <f>'Daily Input'!N268</f>
        <v>0</v>
      </c>
      <c r="E120" s="36">
        <f t="shared" ref="E120:F120" si="102">IF(B120=0,0,C120/B120)</f>
        <v>0</v>
      </c>
      <c r="F120" s="36">
        <f t="shared" si="102"/>
        <v>0</v>
      </c>
      <c r="G120" s="39">
        <f>IFERROR(AVERAGEIF('Daily Input'!L237:L267,"&gt;0"),0)</f>
        <v>0</v>
      </c>
      <c r="H120" s="17">
        <f>MAX('Daily Input'!L237:L267)</f>
        <v>0</v>
      </c>
    </row>
    <row r="121" ht="15.75" customHeight="1">
      <c r="A121" s="38" t="s">
        <v>5</v>
      </c>
      <c r="B121" s="17">
        <f>'Daily Input'!O268</f>
        <v>0</v>
      </c>
      <c r="C121" s="17">
        <f>'Daily Input'!P268</f>
        <v>0</v>
      </c>
      <c r="D121" s="17">
        <f>'Daily Input'!Q268</f>
        <v>0</v>
      </c>
      <c r="E121" s="36">
        <f t="shared" ref="E121:F121" si="103">IF(B121=0,0,C121/B121)</f>
        <v>0</v>
      </c>
      <c r="F121" s="36">
        <f t="shared" si="103"/>
        <v>0</v>
      </c>
      <c r="G121" s="39">
        <f>IFERROR(AVERAGEIF('Daily Input'!O237:O267,"&gt;0"),0)</f>
        <v>0</v>
      </c>
      <c r="H121" s="17">
        <f>MAX('Daily Input'!O237:O267)</f>
        <v>0</v>
      </c>
    </row>
    <row r="122" ht="15.75" customHeight="1">
      <c r="A122" s="38" t="s">
        <v>6</v>
      </c>
      <c r="B122" s="17">
        <f>'Daily Input'!R268</f>
        <v>0</v>
      </c>
      <c r="C122" s="17">
        <f>'Daily Input'!S268</f>
        <v>0</v>
      </c>
      <c r="D122" s="17">
        <f>'Daily Input'!T268</f>
        <v>0</v>
      </c>
      <c r="E122" s="36">
        <f t="shared" ref="E122:F122" si="104">IF(B122=0,0,C122/B122)</f>
        <v>0</v>
      </c>
      <c r="F122" s="36">
        <f t="shared" si="104"/>
        <v>0</v>
      </c>
      <c r="G122" s="39">
        <f>IFERROR(AVERAGEIF('Daily Input'!R237:R267,"&gt;0"),0)</f>
        <v>0</v>
      </c>
      <c r="H122" s="17">
        <f>MAX('Daily Input'!R237:R267)</f>
        <v>0</v>
      </c>
    </row>
    <row r="123" ht="15.75" customHeight="1">
      <c r="A123" s="38" t="s">
        <v>7</v>
      </c>
      <c r="B123" s="17">
        <f>'Daily Input'!U268</f>
        <v>0</v>
      </c>
      <c r="C123" s="17">
        <f>'Daily Input'!V268</f>
        <v>0</v>
      </c>
      <c r="D123" s="17">
        <f>'Daily Input'!W268</f>
        <v>0</v>
      </c>
      <c r="E123" s="36">
        <f t="shared" ref="E123:F123" si="105">IF(B123=0,0,C123/B123)</f>
        <v>0</v>
      </c>
      <c r="F123" s="36">
        <f t="shared" si="105"/>
        <v>0</v>
      </c>
      <c r="G123" s="39">
        <f>IFERROR(AVERAGEIF('Daily Input'!U237:U267,"&gt;0"),0)</f>
        <v>0</v>
      </c>
      <c r="H123" s="17">
        <f>MAX('Daily Input'!U237:U267)</f>
        <v>0</v>
      </c>
    </row>
    <row r="124" ht="15.75" customHeight="1">
      <c r="A124" s="38" t="s">
        <v>8</v>
      </c>
      <c r="B124" s="17">
        <f>'Daily Input'!X268</f>
        <v>0</v>
      </c>
      <c r="C124" s="17">
        <f>'Daily Input'!Y268</f>
        <v>0</v>
      </c>
      <c r="D124" s="17">
        <f>'Daily Input'!Z268</f>
        <v>0</v>
      </c>
      <c r="E124" s="36">
        <f t="shared" ref="E124:F124" si="106">IF(B124=0,0,C124/B124)</f>
        <v>0</v>
      </c>
      <c r="F124" s="36">
        <f t="shared" si="106"/>
        <v>0</v>
      </c>
      <c r="G124" s="39">
        <f>IFERROR(AVERAGEIF('Daily Input'!X237:X267,"&gt;0"),0)</f>
        <v>0</v>
      </c>
      <c r="H124" s="17">
        <f>MAX('Daily Input'!X237:X267)</f>
        <v>0</v>
      </c>
    </row>
    <row r="125" ht="15.75" customHeight="1">
      <c r="A125" s="38" t="s">
        <v>9</v>
      </c>
      <c r="B125" s="17">
        <f>'Daily Input'!AA268</f>
        <v>0</v>
      </c>
      <c r="C125" s="17">
        <f>'Daily Input'!AB268</f>
        <v>0</v>
      </c>
      <c r="D125" s="17">
        <f>'Daily Input'!AC268</f>
        <v>0</v>
      </c>
      <c r="E125" s="36">
        <f t="shared" ref="E125:F125" si="107">IF(B125=0,0,C125/B125)</f>
        <v>0</v>
      </c>
      <c r="F125" s="36">
        <f t="shared" si="107"/>
        <v>0</v>
      </c>
      <c r="G125" s="39">
        <f>IFERROR(AVERAGEIF('Daily Input'!AA237:AA267,"&gt;0"),0)</f>
        <v>0</v>
      </c>
      <c r="H125" s="17">
        <f>MAX('Daily Input'!AA237:AA267)</f>
        <v>0</v>
      </c>
    </row>
    <row r="126" ht="15.75" customHeight="1">
      <c r="A126" s="38" t="s">
        <v>10</v>
      </c>
      <c r="B126" s="17">
        <f>'Daily Input'!AD268</f>
        <v>0</v>
      </c>
      <c r="C126" s="17">
        <f>'Daily Input'!AE268</f>
        <v>0</v>
      </c>
      <c r="D126" s="17">
        <f>'Daily Input'!AF268</f>
        <v>0</v>
      </c>
      <c r="E126" s="36">
        <f t="shared" ref="E126:F126" si="108">IF(B126=0,0,C126/B126)</f>
        <v>0</v>
      </c>
      <c r="F126" s="36">
        <f t="shared" si="108"/>
        <v>0</v>
      </c>
      <c r="G126" s="39">
        <f>IFERROR(AVERAGEIF('Daily Input'!AD237:AD267,"&gt;0"),0)</f>
        <v>0</v>
      </c>
      <c r="H126" s="17">
        <f>MAX('Daily Input'!AD237:AD267)</f>
        <v>0</v>
      </c>
    </row>
    <row r="127" ht="15.75" customHeight="1">
      <c r="A127" s="38" t="s">
        <v>11</v>
      </c>
      <c r="B127" s="17">
        <f>'Daily Input'!AG268</f>
        <v>0</v>
      </c>
      <c r="C127" s="17">
        <f>'Daily Input'!AH268</f>
        <v>0</v>
      </c>
      <c r="D127" s="17">
        <f>'Daily Input'!AI268</f>
        <v>0</v>
      </c>
      <c r="E127" s="36">
        <f t="shared" ref="E127:F127" si="109">IF(B127=0,0,C127/B127)</f>
        <v>0</v>
      </c>
      <c r="F127" s="36">
        <f t="shared" si="109"/>
        <v>0</v>
      </c>
      <c r="G127" s="39">
        <f>IFERROR(AVERAGEIF('Daily Input'!AG237:AG267,"&gt;0"),0)</f>
        <v>0</v>
      </c>
      <c r="H127" s="17">
        <f>MAX('Daily Input'!AG237:AG267)</f>
        <v>0</v>
      </c>
    </row>
    <row r="128" ht="15.75" customHeight="1">
      <c r="A128" s="38" t="s">
        <v>12</v>
      </c>
      <c r="B128" s="17">
        <f>'Daily Input'!AJ268</f>
        <v>0</v>
      </c>
      <c r="C128" s="17">
        <f>'Daily Input'!AK268</f>
        <v>0</v>
      </c>
      <c r="D128" s="17">
        <f>'Daily Input'!AL268</f>
        <v>0</v>
      </c>
      <c r="E128" s="36">
        <f t="shared" ref="E128:F128" si="110">IF(B128=0,0,C128/B128)</f>
        <v>0</v>
      </c>
      <c r="F128" s="36">
        <f t="shared" si="110"/>
        <v>0</v>
      </c>
      <c r="G128" s="39">
        <f>IFERROR(AVERAGEIF('Daily Input'!AJ237:AJ267,"&gt;0"),0)</f>
        <v>0</v>
      </c>
      <c r="H128" s="17">
        <f>MAX('Daily Input'!AJ237:AJ267)</f>
        <v>0</v>
      </c>
    </row>
    <row r="129" ht="15.75" customHeight="1">
      <c r="A129" s="40" t="s">
        <v>59</v>
      </c>
      <c r="B129" s="41">
        <f t="shared" ref="B129:D129" si="111">SUM(B117:B128)</f>
        <v>0</v>
      </c>
      <c r="C129" s="41">
        <f t="shared" si="111"/>
        <v>0</v>
      </c>
      <c r="D129" s="41">
        <f t="shared" si="111"/>
        <v>0</v>
      </c>
      <c r="E129" s="42">
        <f t="shared" ref="E129:F129" si="112">IF(B129=0,0,C129/B129)</f>
        <v>0</v>
      </c>
      <c r="F129" s="42">
        <f t="shared" si="112"/>
        <v>0</v>
      </c>
      <c r="G129" s="43">
        <f>IFERROR(AVERAGE(G117:G128),0)</f>
        <v>0</v>
      </c>
      <c r="H129" s="41">
        <f>MAX(H117:H128)</f>
        <v>0</v>
      </c>
    </row>
    <row r="130" ht="15.75" customHeight="1"/>
    <row r="131" ht="15.75" customHeight="1">
      <c r="A131" s="9" t="s">
        <v>44</v>
      </c>
      <c r="B131" s="4"/>
      <c r="C131" s="4"/>
      <c r="D131" s="4"/>
      <c r="E131" s="4"/>
      <c r="F131" s="4"/>
      <c r="G131" s="4"/>
      <c r="H131" s="5"/>
    </row>
    <row r="132" ht="15.75" customHeight="1">
      <c r="A132" s="34" t="s">
        <v>55</v>
      </c>
      <c r="B132" s="34" t="s">
        <v>16</v>
      </c>
      <c r="C132" s="34" t="s">
        <v>17</v>
      </c>
      <c r="D132" s="34" t="s">
        <v>56</v>
      </c>
      <c r="E132" s="34" t="s">
        <v>57</v>
      </c>
      <c r="F132" s="34" t="s">
        <v>58</v>
      </c>
      <c r="G132" s="34" t="s">
        <v>113</v>
      </c>
      <c r="H132" s="34" t="s">
        <v>114</v>
      </c>
    </row>
    <row r="133" ht="15.75" customHeight="1">
      <c r="A133" s="38" t="s">
        <v>1</v>
      </c>
      <c r="B133" s="17">
        <f>'Daily Input'!C301</f>
        <v>0</v>
      </c>
      <c r="C133" s="17">
        <f>'Daily Input'!D301</f>
        <v>0</v>
      </c>
      <c r="D133" s="17">
        <f>'Daily Input'!E301</f>
        <v>0</v>
      </c>
      <c r="E133" s="36">
        <f t="shared" ref="E133:F133" si="113">IF(B133=0,0,C133/B133)</f>
        <v>0</v>
      </c>
      <c r="F133" s="36">
        <f t="shared" si="113"/>
        <v>0</v>
      </c>
      <c r="G133" s="39">
        <f>IFERROR(AVERAGEIF('Daily Input'!C271:C300,"&gt;0"),0)</f>
        <v>0</v>
      </c>
      <c r="H133" s="17">
        <f>MAX('Daily Input'!C271:C300)</f>
        <v>0</v>
      </c>
    </row>
    <row r="134" ht="15.75" customHeight="1">
      <c r="A134" s="38" t="s">
        <v>2</v>
      </c>
      <c r="B134" s="17">
        <f>'Daily Input'!F301</f>
        <v>0</v>
      </c>
      <c r="C134" s="17">
        <f>'Daily Input'!G301</f>
        <v>0</v>
      </c>
      <c r="D134" s="17">
        <f>'Daily Input'!H301</f>
        <v>0</v>
      </c>
      <c r="E134" s="36">
        <f t="shared" ref="E134:F134" si="114">IF(B134=0,0,C134/B134)</f>
        <v>0</v>
      </c>
      <c r="F134" s="36">
        <f t="shared" si="114"/>
        <v>0</v>
      </c>
      <c r="G134" s="39">
        <f>IFERROR(AVERAGEIF('Daily Input'!F271:F300,"&gt;0"),0)</f>
        <v>0</v>
      </c>
      <c r="H134" s="17">
        <f>MAX('Daily Input'!F271:F300)</f>
        <v>0</v>
      </c>
    </row>
    <row r="135" ht="15.75" customHeight="1">
      <c r="A135" s="38" t="s">
        <v>3</v>
      </c>
      <c r="B135" s="17">
        <f>'Daily Input'!I301</f>
        <v>0</v>
      </c>
      <c r="C135" s="17">
        <f>'Daily Input'!J301</f>
        <v>0</v>
      </c>
      <c r="D135" s="17">
        <f>'Daily Input'!K301</f>
        <v>0</v>
      </c>
      <c r="E135" s="36">
        <f t="shared" ref="E135:F135" si="115">IF(B135=0,0,C135/B135)</f>
        <v>0</v>
      </c>
      <c r="F135" s="36">
        <f t="shared" si="115"/>
        <v>0</v>
      </c>
      <c r="G135" s="39">
        <f>IFERROR(AVERAGEIF('Daily Input'!I271:I300,"&gt;0"),0)</f>
        <v>0</v>
      </c>
      <c r="H135" s="17">
        <f>MAX('Daily Input'!I271:I300)</f>
        <v>0</v>
      </c>
    </row>
    <row r="136" ht="15.75" customHeight="1">
      <c r="A136" s="38" t="s">
        <v>4</v>
      </c>
      <c r="B136" s="17">
        <f>'Daily Input'!L301</f>
        <v>0</v>
      </c>
      <c r="C136" s="17">
        <f>'Daily Input'!M301</f>
        <v>0</v>
      </c>
      <c r="D136" s="17">
        <f>'Daily Input'!N301</f>
        <v>0</v>
      </c>
      <c r="E136" s="36">
        <f t="shared" ref="E136:F136" si="116">IF(B136=0,0,C136/B136)</f>
        <v>0</v>
      </c>
      <c r="F136" s="36">
        <f t="shared" si="116"/>
        <v>0</v>
      </c>
      <c r="G136" s="39">
        <f>IFERROR(AVERAGEIF('Daily Input'!L271:L300,"&gt;0"),0)</f>
        <v>0</v>
      </c>
      <c r="H136" s="17">
        <f>MAX('Daily Input'!L271:L300)</f>
        <v>0</v>
      </c>
    </row>
    <row r="137" ht="15.75" customHeight="1">
      <c r="A137" s="38" t="s">
        <v>5</v>
      </c>
      <c r="B137" s="17">
        <f>'Daily Input'!O301</f>
        <v>0</v>
      </c>
      <c r="C137" s="17">
        <f>'Daily Input'!P301</f>
        <v>0</v>
      </c>
      <c r="D137" s="17">
        <f>'Daily Input'!Q301</f>
        <v>0</v>
      </c>
      <c r="E137" s="36">
        <f t="shared" ref="E137:F137" si="117">IF(B137=0,0,C137/B137)</f>
        <v>0</v>
      </c>
      <c r="F137" s="36">
        <f t="shared" si="117"/>
        <v>0</v>
      </c>
      <c r="G137" s="39">
        <f>IFERROR(AVERAGEIF('Daily Input'!O271:O300,"&gt;0"),0)</f>
        <v>0</v>
      </c>
      <c r="H137" s="17">
        <f>MAX('Daily Input'!O271:O300)</f>
        <v>0</v>
      </c>
    </row>
    <row r="138" ht="15.75" customHeight="1">
      <c r="A138" s="38" t="s">
        <v>6</v>
      </c>
      <c r="B138" s="17">
        <f>'Daily Input'!R301</f>
        <v>0</v>
      </c>
      <c r="C138" s="17">
        <f>'Daily Input'!S301</f>
        <v>0</v>
      </c>
      <c r="D138" s="17">
        <f>'Daily Input'!T301</f>
        <v>0</v>
      </c>
      <c r="E138" s="36">
        <f t="shared" ref="E138:F138" si="118">IF(B138=0,0,C138/B138)</f>
        <v>0</v>
      </c>
      <c r="F138" s="36">
        <f t="shared" si="118"/>
        <v>0</v>
      </c>
      <c r="G138" s="39">
        <f>IFERROR(AVERAGEIF('Daily Input'!R271:R300,"&gt;0"),0)</f>
        <v>0</v>
      </c>
      <c r="H138" s="17">
        <f>MAX('Daily Input'!R271:R300)</f>
        <v>0</v>
      </c>
    </row>
    <row r="139" ht="15.75" customHeight="1">
      <c r="A139" s="38" t="s">
        <v>7</v>
      </c>
      <c r="B139" s="17">
        <f>'Daily Input'!U301</f>
        <v>0</v>
      </c>
      <c r="C139" s="17">
        <f>'Daily Input'!V301</f>
        <v>0</v>
      </c>
      <c r="D139" s="17">
        <f>'Daily Input'!W301</f>
        <v>0</v>
      </c>
      <c r="E139" s="36">
        <f t="shared" ref="E139:F139" si="119">IF(B139=0,0,C139/B139)</f>
        <v>0</v>
      </c>
      <c r="F139" s="36">
        <f t="shared" si="119"/>
        <v>0</v>
      </c>
      <c r="G139" s="39">
        <f>IFERROR(AVERAGEIF('Daily Input'!U271:U300,"&gt;0"),0)</f>
        <v>0</v>
      </c>
      <c r="H139" s="17">
        <f>MAX('Daily Input'!U271:U300)</f>
        <v>0</v>
      </c>
    </row>
    <row r="140" ht="15.75" customHeight="1">
      <c r="A140" s="38" t="s">
        <v>8</v>
      </c>
      <c r="B140" s="17">
        <f>'Daily Input'!X301</f>
        <v>0</v>
      </c>
      <c r="C140" s="17">
        <f>'Daily Input'!Y301</f>
        <v>0</v>
      </c>
      <c r="D140" s="17">
        <f>'Daily Input'!Z301</f>
        <v>0</v>
      </c>
      <c r="E140" s="36">
        <f t="shared" ref="E140:F140" si="120">IF(B140=0,0,C140/B140)</f>
        <v>0</v>
      </c>
      <c r="F140" s="36">
        <f t="shared" si="120"/>
        <v>0</v>
      </c>
      <c r="G140" s="39">
        <f>IFERROR(AVERAGEIF('Daily Input'!X271:X300,"&gt;0"),0)</f>
        <v>0</v>
      </c>
      <c r="H140" s="17">
        <f>MAX('Daily Input'!X271:X300)</f>
        <v>0</v>
      </c>
    </row>
    <row r="141" ht="15.75" customHeight="1">
      <c r="A141" s="38" t="s">
        <v>9</v>
      </c>
      <c r="B141" s="17">
        <f>'Daily Input'!AA301</f>
        <v>0</v>
      </c>
      <c r="C141" s="17">
        <f>'Daily Input'!AB301</f>
        <v>0</v>
      </c>
      <c r="D141" s="17">
        <f>'Daily Input'!AC301</f>
        <v>0</v>
      </c>
      <c r="E141" s="36">
        <f t="shared" ref="E141:F141" si="121">IF(B141=0,0,C141/B141)</f>
        <v>0</v>
      </c>
      <c r="F141" s="36">
        <f t="shared" si="121"/>
        <v>0</v>
      </c>
      <c r="G141" s="39">
        <f>IFERROR(AVERAGEIF('Daily Input'!AA271:AA300,"&gt;0"),0)</f>
        <v>0</v>
      </c>
      <c r="H141" s="17">
        <f>MAX('Daily Input'!AA271:AA300)</f>
        <v>0</v>
      </c>
    </row>
    <row r="142" ht="15.75" customHeight="1">
      <c r="A142" s="38" t="s">
        <v>10</v>
      </c>
      <c r="B142" s="17">
        <f>'Daily Input'!AD301</f>
        <v>0</v>
      </c>
      <c r="C142" s="17">
        <f>'Daily Input'!AE301</f>
        <v>0</v>
      </c>
      <c r="D142" s="17">
        <f>'Daily Input'!AF301</f>
        <v>0</v>
      </c>
      <c r="E142" s="36">
        <f t="shared" ref="E142:F142" si="122">IF(B142=0,0,C142/B142)</f>
        <v>0</v>
      </c>
      <c r="F142" s="36">
        <f t="shared" si="122"/>
        <v>0</v>
      </c>
      <c r="G142" s="39">
        <f>IFERROR(AVERAGEIF('Daily Input'!AD271:AD300,"&gt;0"),0)</f>
        <v>0</v>
      </c>
      <c r="H142" s="17">
        <f>MAX('Daily Input'!AD271:AD300)</f>
        <v>0</v>
      </c>
    </row>
    <row r="143" ht="15.75" customHeight="1">
      <c r="A143" s="38" t="s">
        <v>11</v>
      </c>
      <c r="B143" s="17">
        <f>'Daily Input'!AG301</f>
        <v>0</v>
      </c>
      <c r="C143" s="17">
        <f>'Daily Input'!AH301</f>
        <v>0</v>
      </c>
      <c r="D143" s="17">
        <f>'Daily Input'!AI301</f>
        <v>0</v>
      </c>
      <c r="E143" s="36">
        <f t="shared" ref="E143:F143" si="123">IF(B143=0,0,C143/B143)</f>
        <v>0</v>
      </c>
      <c r="F143" s="36">
        <f t="shared" si="123"/>
        <v>0</v>
      </c>
      <c r="G143" s="39">
        <f>IFERROR(AVERAGEIF('Daily Input'!AG271:AG300,"&gt;0"),0)</f>
        <v>0</v>
      </c>
      <c r="H143" s="17">
        <f>MAX('Daily Input'!AG271:AG300)</f>
        <v>0</v>
      </c>
    </row>
    <row r="144" ht="15.75" customHeight="1">
      <c r="A144" s="38" t="s">
        <v>12</v>
      </c>
      <c r="B144" s="17">
        <f>'Daily Input'!AJ301</f>
        <v>0</v>
      </c>
      <c r="C144" s="17">
        <f>'Daily Input'!AK301</f>
        <v>0</v>
      </c>
      <c r="D144" s="17">
        <f>'Daily Input'!AL301</f>
        <v>0</v>
      </c>
      <c r="E144" s="36">
        <f t="shared" ref="E144:F144" si="124">IF(B144=0,0,C144/B144)</f>
        <v>0</v>
      </c>
      <c r="F144" s="36">
        <f t="shared" si="124"/>
        <v>0</v>
      </c>
      <c r="G144" s="39">
        <f>IFERROR(AVERAGEIF('Daily Input'!AJ271:AJ300,"&gt;0"),0)</f>
        <v>0</v>
      </c>
      <c r="H144" s="17">
        <f>MAX('Daily Input'!AJ271:AJ300)</f>
        <v>0</v>
      </c>
    </row>
    <row r="145" ht="15.75" customHeight="1">
      <c r="A145" s="40" t="s">
        <v>59</v>
      </c>
      <c r="B145" s="41">
        <f t="shared" ref="B145:D145" si="125">SUM(B133:B144)</f>
        <v>0</v>
      </c>
      <c r="C145" s="41">
        <f t="shared" si="125"/>
        <v>0</v>
      </c>
      <c r="D145" s="41">
        <f t="shared" si="125"/>
        <v>0</v>
      </c>
      <c r="E145" s="42">
        <f t="shared" ref="E145:F145" si="126">IF(B145=0,0,C145/B145)</f>
        <v>0</v>
      </c>
      <c r="F145" s="42">
        <f t="shared" si="126"/>
        <v>0</v>
      </c>
      <c r="G145" s="43">
        <f>IFERROR(AVERAGE(G133:G144),0)</f>
        <v>0</v>
      </c>
      <c r="H145" s="41">
        <f>MAX(H133:H144)</f>
        <v>0</v>
      </c>
    </row>
    <row r="146" ht="15.75" customHeight="1"/>
    <row r="147" ht="15.75" customHeight="1">
      <c r="A147" s="9" t="s">
        <v>46</v>
      </c>
      <c r="B147" s="4"/>
      <c r="C147" s="4"/>
      <c r="D147" s="4"/>
      <c r="E147" s="4"/>
      <c r="F147" s="4"/>
      <c r="G147" s="4"/>
      <c r="H147" s="5"/>
    </row>
    <row r="148" ht="15.75" customHeight="1">
      <c r="A148" s="34" t="s">
        <v>55</v>
      </c>
      <c r="B148" s="34" t="s">
        <v>16</v>
      </c>
      <c r="C148" s="34" t="s">
        <v>17</v>
      </c>
      <c r="D148" s="34" t="s">
        <v>56</v>
      </c>
      <c r="E148" s="34" t="s">
        <v>57</v>
      </c>
      <c r="F148" s="34" t="s">
        <v>58</v>
      </c>
      <c r="G148" s="34" t="s">
        <v>113</v>
      </c>
      <c r="H148" s="34" t="s">
        <v>114</v>
      </c>
    </row>
    <row r="149" ht="15.75" customHeight="1">
      <c r="A149" s="38" t="s">
        <v>1</v>
      </c>
      <c r="B149" s="17">
        <f>'Daily Input'!C335</f>
        <v>0</v>
      </c>
      <c r="C149" s="17">
        <f>'Daily Input'!D335</f>
        <v>0</v>
      </c>
      <c r="D149" s="17">
        <f>'Daily Input'!E335</f>
        <v>0</v>
      </c>
      <c r="E149" s="36">
        <f t="shared" ref="E149:F149" si="127">IF(B149=0,0,C149/B149)</f>
        <v>0</v>
      </c>
      <c r="F149" s="36">
        <f t="shared" si="127"/>
        <v>0</v>
      </c>
      <c r="G149" s="39">
        <f>IFERROR(AVERAGEIF('Daily Input'!C304:C334,"&gt;0"),0)</f>
        <v>0</v>
      </c>
      <c r="H149" s="17">
        <f>MAX('Daily Input'!C304:C334)</f>
        <v>0</v>
      </c>
    </row>
    <row r="150" ht="15.75" customHeight="1">
      <c r="A150" s="38" t="s">
        <v>2</v>
      </c>
      <c r="B150" s="17">
        <f>'Daily Input'!F335</f>
        <v>0</v>
      </c>
      <c r="C150" s="17">
        <f>'Daily Input'!G335</f>
        <v>0</v>
      </c>
      <c r="D150" s="17">
        <f>'Daily Input'!H335</f>
        <v>0</v>
      </c>
      <c r="E150" s="36">
        <f t="shared" ref="E150:F150" si="128">IF(B150=0,0,C150/B150)</f>
        <v>0</v>
      </c>
      <c r="F150" s="36">
        <f t="shared" si="128"/>
        <v>0</v>
      </c>
      <c r="G150" s="39">
        <f>IFERROR(AVERAGEIF('Daily Input'!F304:F334,"&gt;0"),0)</f>
        <v>0</v>
      </c>
      <c r="H150" s="17">
        <f>MAX('Daily Input'!F304:F334)</f>
        <v>0</v>
      </c>
    </row>
    <row r="151" ht="15.75" customHeight="1">
      <c r="A151" s="38" t="s">
        <v>3</v>
      </c>
      <c r="B151" s="17">
        <f>'Daily Input'!I335</f>
        <v>0</v>
      </c>
      <c r="C151" s="17">
        <f>'Daily Input'!J335</f>
        <v>0</v>
      </c>
      <c r="D151" s="17">
        <f>'Daily Input'!K335</f>
        <v>0</v>
      </c>
      <c r="E151" s="36">
        <f t="shared" ref="E151:F151" si="129">IF(B151=0,0,C151/B151)</f>
        <v>0</v>
      </c>
      <c r="F151" s="36">
        <f t="shared" si="129"/>
        <v>0</v>
      </c>
      <c r="G151" s="39">
        <f>IFERROR(AVERAGEIF('Daily Input'!I304:I334,"&gt;0"),0)</f>
        <v>0</v>
      </c>
      <c r="H151" s="17">
        <f>MAX('Daily Input'!I304:I334)</f>
        <v>0</v>
      </c>
    </row>
    <row r="152" ht="15.75" customHeight="1">
      <c r="A152" s="38" t="s">
        <v>4</v>
      </c>
      <c r="B152" s="17">
        <f>'Daily Input'!L335</f>
        <v>0</v>
      </c>
      <c r="C152" s="17">
        <f>'Daily Input'!M335</f>
        <v>0</v>
      </c>
      <c r="D152" s="17">
        <f>'Daily Input'!N335</f>
        <v>0</v>
      </c>
      <c r="E152" s="36">
        <f t="shared" ref="E152:F152" si="130">IF(B152=0,0,C152/B152)</f>
        <v>0</v>
      </c>
      <c r="F152" s="36">
        <f t="shared" si="130"/>
        <v>0</v>
      </c>
      <c r="G152" s="39">
        <f>IFERROR(AVERAGEIF('Daily Input'!L304:L334,"&gt;0"),0)</f>
        <v>0</v>
      </c>
      <c r="H152" s="17">
        <f>MAX('Daily Input'!L304:L334)</f>
        <v>0</v>
      </c>
    </row>
    <row r="153" ht="15.75" customHeight="1">
      <c r="A153" s="38" t="s">
        <v>5</v>
      </c>
      <c r="B153" s="17">
        <f>'Daily Input'!O335</f>
        <v>0</v>
      </c>
      <c r="C153" s="17">
        <f>'Daily Input'!P335</f>
        <v>0</v>
      </c>
      <c r="D153" s="17">
        <f>'Daily Input'!Q335</f>
        <v>0</v>
      </c>
      <c r="E153" s="36">
        <f t="shared" ref="E153:F153" si="131">IF(B153=0,0,C153/B153)</f>
        <v>0</v>
      </c>
      <c r="F153" s="36">
        <f t="shared" si="131"/>
        <v>0</v>
      </c>
      <c r="G153" s="39">
        <f>IFERROR(AVERAGEIF('Daily Input'!O304:O334,"&gt;0"),0)</f>
        <v>0</v>
      </c>
      <c r="H153" s="17">
        <f>MAX('Daily Input'!O304:O334)</f>
        <v>0</v>
      </c>
    </row>
    <row r="154" ht="15.75" customHeight="1">
      <c r="A154" s="38" t="s">
        <v>6</v>
      </c>
      <c r="B154" s="17">
        <f>'Daily Input'!R335</f>
        <v>0</v>
      </c>
      <c r="C154" s="17">
        <f>'Daily Input'!S335</f>
        <v>0</v>
      </c>
      <c r="D154" s="17">
        <f>'Daily Input'!T335</f>
        <v>0</v>
      </c>
      <c r="E154" s="36">
        <f t="shared" ref="E154:F154" si="132">IF(B154=0,0,C154/B154)</f>
        <v>0</v>
      </c>
      <c r="F154" s="36">
        <f t="shared" si="132"/>
        <v>0</v>
      </c>
      <c r="G154" s="39">
        <f>IFERROR(AVERAGEIF('Daily Input'!R304:R334,"&gt;0"),0)</f>
        <v>0</v>
      </c>
      <c r="H154" s="17">
        <f>MAX('Daily Input'!R304:R334)</f>
        <v>0</v>
      </c>
    </row>
    <row r="155" ht="15.75" customHeight="1">
      <c r="A155" s="38" t="s">
        <v>7</v>
      </c>
      <c r="B155" s="17">
        <f>'Daily Input'!U335</f>
        <v>0</v>
      </c>
      <c r="C155" s="17">
        <f>'Daily Input'!V335</f>
        <v>0</v>
      </c>
      <c r="D155" s="17">
        <f>'Daily Input'!W335</f>
        <v>0</v>
      </c>
      <c r="E155" s="36">
        <f t="shared" ref="E155:F155" si="133">IF(B155=0,0,C155/B155)</f>
        <v>0</v>
      </c>
      <c r="F155" s="36">
        <f t="shared" si="133"/>
        <v>0</v>
      </c>
      <c r="G155" s="39">
        <f>IFERROR(AVERAGEIF('Daily Input'!U304:U334,"&gt;0"),0)</f>
        <v>0</v>
      </c>
      <c r="H155" s="17">
        <f>MAX('Daily Input'!U304:U334)</f>
        <v>0</v>
      </c>
    </row>
    <row r="156" ht="15.75" customHeight="1">
      <c r="A156" s="38" t="s">
        <v>8</v>
      </c>
      <c r="B156" s="17">
        <f>'Daily Input'!X335</f>
        <v>0</v>
      </c>
      <c r="C156" s="17">
        <f>'Daily Input'!Y335</f>
        <v>0</v>
      </c>
      <c r="D156" s="17">
        <f>'Daily Input'!Z335</f>
        <v>0</v>
      </c>
      <c r="E156" s="36">
        <f t="shared" ref="E156:F156" si="134">IF(B156=0,0,C156/B156)</f>
        <v>0</v>
      </c>
      <c r="F156" s="36">
        <f t="shared" si="134"/>
        <v>0</v>
      </c>
      <c r="G156" s="39">
        <f>IFERROR(AVERAGEIF('Daily Input'!X304:X334,"&gt;0"),0)</f>
        <v>0</v>
      </c>
      <c r="H156" s="17">
        <f>MAX('Daily Input'!X304:X334)</f>
        <v>0</v>
      </c>
    </row>
    <row r="157" ht="15.75" customHeight="1">
      <c r="A157" s="38" t="s">
        <v>9</v>
      </c>
      <c r="B157" s="17">
        <f>'Daily Input'!AA335</f>
        <v>0</v>
      </c>
      <c r="C157" s="17">
        <f>'Daily Input'!AB335</f>
        <v>0</v>
      </c>
      <c r="D157" s="17">
        <f>'Daily Input'!AC335</f>
        <v>0</v>
      </c>
      <c r="E157" s="36">
        <f t="shared" ref="E157:F157" si="135">IF(B157=0,0,C157/B157)</f>
        <v>0</v>
      </c>
      <c r="F157" s="36">
        <f t="shared" si="135"/>
        <v>0</v>
      </c>
      <c r="G157" s="39">
        <f>IFERROR(AVERAGEIF('Daily Input'!AA304:AA334,"&gt;0"),0)</f>
        <v>0</v>
      </c>
      <c r="H157" s="17">
        <f>MAX('Daily Input'!AA304:AA334)</f>
        <v>0</v>
      </c>
    </row>
    <row r="158" ht="15.75" customHeight="1">
      <c r="A158" s="38" t="s">
        <v>10</v>
      </c>
      <c r="B158" s="17">
        <f>'Daily Input'!AD335</f>
        <v>0</v>
      </c>
      <c r="C158" s="17">
        <f>'Daily Input'!AE335</f>
        <v>0</v>
      </c>
      <c r="D158" s="17">
        <f>'Daily Input'!AF335</f>
        <v>0</v>
      </c>
      <c r="E158" s="36">
        <f t="shared" ref="E158:F158" si="136">IF(B158=0,0,C158/B158)</f>
        <v>0</v>
      </c>
      <c r="F158" s="36">
        <f t="shared" si="136"/>
        <v>0</v>
      </c>
      <c r="G158" s="39">
        <f>IFERROR(AVERAGEIF('Daily Input'!AD304:AD334,"&gt;0"),0)</f>
        <v>0</v>
      </c>
      <c r="H158" s="17">
        <f>MAX('Daily Input'!AD304:AD334)</f>
        <v>0</v>
      </c>
    </row>
    <row r="159" ht="15.75" customHeight="1">
      <c r="A159" s="38" t="s">
        <v>11</v>
      </c>
      <c r="B159" s="17">
        <f>'Daily Input'!AG335</f>
        <v>0</v>
      </c>
      <c r="C159" s="17">
        <f>'Daily Input'!AH335</f>
        <v>0</v>
      </c>
      <c r="D159" s="17">
        <f>'Daily Input'!AI335</f>
        <v>0</v>
      </c>
      <c r="E159" s="36">
        <f t="shared" ref="E159:F159" si="137">IF(B159=0,0,C159/B159)</f>
        <v>0</v>
      </c>
      <c r="F159" s="36">
        <f t="shared" si="137"/>
        <v>0</v>
      </c>
      <c r="G159" s="39">
        <f>IFERROR(AVERAGEIF('Daily Input'!AG304:AG334,"&gt;0"),0)</f>
        <v>0</v>
      </c>
      <c r="H159" s="17">
        <f>MAX('Daily Input'!AG304:AG334)</f>
        <v>0</v>
      </c>
    </row>
    <row r="160" ht="15.75" customHeight="1">
      <c r="A160" s="38" t="s">
        <v>12</v>
      </c>
      <c r="B160" s="17">
        <f>'Daily Input'!AJ335</f>
        <v>0</v>
      </c>
      <c r="C160" s="17">
        <f>'Daily Input'!AK335</f>
        <v>0</v>
      </c>
      <c r="D160" s="17">
        <f>'Daily Input'!AL335</f>
        <v>0</v>
      </c>
      <c r="E160" s="36">
        <f t="shared" ref="E160:F160" si="138">IF(B160=0,0,C160/B160)</f>
        <v>0</v>
      </c>
      <c r="F160" s="36">
        <f t="shared" si="138"/>
        <v>0</v>
      </c>
      <c r="G160" s="39">
        <f>IFERROR(AVERAGEIF('Daily Input'!AJ304:AJ334,"&gt;0"),0)</f>
        <v>0</v>
      </c>
      <c r="H160" s="17">
        <f>MAX('Daily Input'!AJ304:AJ334)</f>
        <v>0</v>
      </c>
    </row>
    <row r="161" ht="15.75" customHeight="1">
      <c r="A161" s="40" t="s">
        <v>59</v>
      </c>
      <c r="B161" s="41">
        <f t="shared" ref="B161:D161" si="139">SUM(B149:B160)</f>
        <v>0</v>
      </c>
      <c r="C161" s="41">
        <f t="shared" si="139"/>
        <v>0</v>
      </c>
      <c r="D161" s="41">
        <f t="shared" si="139"/>
        <v>0</v>
      </c>
      <c r="E161" s="42">
        <f t="shared" ref="E161:F161" si="140">IF(B161=0,0,C161/B161)</f>
        <v>0</v>
      </c>
      <c r="F161" s="42">
        <f t="shared" si="140"/>
        <v>0</v>
      </c>
      <c r="G161" s="43">
        <f>IFERROR(AVERAGE(G149:G160),0)</f>
        <v>0</v>
      </c>
      <c r="H161" s="41">
        <f>MAX(H149:H160)</f>
        <v>0</v>
      </c>
    </row>
    <row r="162" ht="15.75" customHeight="1"/>
    <row r="163" ht="15.75" customHeight="1">
      <c r="A163" s="9" t="s">
        <v>48</v>
      </c>
      <c r="B163" s="4"/>
      <c r="C163" s="4"/>
      <c r="D163" s="4"/>
      <c r="E163" s="4"/>
      <c r="F163" s="4"/>
      <c r="G163" s="4"/>
      <c r="H163" s="5"/>
    </row>
    <row r="164" ht="15.75" customHeight="1">
      <c r="A164" s="34" t="s">
        <v>55</v>
      </c>
      <c r="B164" s="34" t="s">
        <v>16</v>
      </c>
      <c r="C164" s="34" t="s">
        <v>17</v>
      </c>
      <c r="D164" s="34" t="s">
        <v>56</v>
      </c>
      <c r="E164" s="34" t="s">
        <v>57</v>
      </c>
      <c r="F164" s="34" t="s">
        <v>58</v>
      </c>
      <c r="G164" s="34" t="s">
        <v>113</v>
      </c>
      <c r="H164" s="34" t="s">
        <v>114</v>
      </c>
    </row>
    <row r="165" ht="15.75" customHeight="1">
      <c r="A165" s="38" t="s">
        <v>1</v>
      </c>
      <c r="B165" s="17">
        <f>'Daily Input'!C368</f>
        <v>0</v>
      </c>
      <c r="C165" s="17">
        <f>'Daily Input'!D368</f>
        <v>0</v>
      </c>
      <c r="D165" s="17">
        <f>'Daily Input'!E368</f>
        <v>0</v>
      </c>
      <c r="E165" s="36">
        <f t="shared" ref="E165:F165" si="141">IF(B165=0,0,C165/B165)</f>
        <v>0</v>
      </c>
      <c r="F165" s="36">
        <f t="shared" si="141"/>
        <v>0</v>
      </c>
      <c r="G165" s="39">
        <f>IFERROR(AVERAGEIF('Daily Input'!C338:C367,"&gt;0"),0)</f>
        <v>0</v>
      </c>
      <c r="H165" s="17">
        <f>MAX('Daily Input'!C338:C367)</f>
        <v>0</v>
      </c>
    </row>
    <row r="166" ht="15.75" customHeight="1">
      <c r="A166" s="38" t="s">
        <v>2</v>
      </c>
      <c r="B166" s="17">
        <f>'Daily Input'!F368</f>
        <v>0</v>
      </c>
      <c r="C166" s="17">
        <f>'Daily Input'!G368</f>
        <v>0</v>
      </c>
      <c r="D166" s="17">
        <f>'Daily Input'!H368</f>
        <v>0</v>
      </c>
      <c r="E166" s="36">
        <f t="shared" ref="E166:F166" si="142">IF(B166=0,0,C166/B166)</f>
        <v>0</v>
      </c>
      <c r="F166" s="36">
        <f t="shared" si="142"/>
        <v>0</v>
      </c>
      <c r="G166" s="39">
        <f>IFERROR(AVERAGEIF('Daily Input'!F338:F367,"&gt;0"),0)</f>
        <v>0</v>
      </c>
      <c r="H166" s="17">
        <f>MAX('Daily Input'!F338:F367)</f>
        <v>0</v>
      </c>
    </row>
    <row r="167" ht="15.75" customHeight="1">
      <c r="A167" s="38" t="s">
        <v>3</v>
      </c>
      <c r="B167" s="17">
        <f>'Daily Input'!I368</f>
        <v>0</v>
      </c>
      <c r="C167" s="17">
        <f>'Daily Input'!J368</f>
        <v>0</v>
      </c>
      <c r="D167" s="17">
        <f>'Daily Input'!K368</f>
        <v>0</v>
      </c>
      <c r="E167" s="36">
        <f t="shared" ref="E167:F167" si="143">IF(B167=0,0,C167/B167)</f>
        <v>0</v>
      </c>
      <c r="F167" s="36">
        <f t="shared" si="143"/>
        <v>0</v>
      </c>
      <c r="G167" s="39">
        <f>IFERROR(AVERAGEIF('Daily Input'!I338:I367,"&gt;0"),0)</f>
        <v>0</v>
      </c>
      <c r="H167" s="17">
        <f>MAX('Daily Input'!I338:I367)</f>
        <v>0</v>
      </c>
    </row>
    <row r="168" ht="15.75" customHeight="1">
      <c r="A168" s="38" t="s">
        <v>4</v>
      </c>
      <c r="B168" s="17">
        <f>'Daily Input'!L368</f>
        <v>0</v>
      </c>
      <c r="C168" s="17">
        <f>'Daily Input'!M368</f>
        <v>0</v>
      </c>
      <c r="D168" s="17">
        <f>'Daily Input'!N368</f>
        <v>0</v>
      </c>
      <c r="E168" s="36">
        <f t="shared" ref="E168:F168" si="144">IF(B168=0,0,C168/B168)</f>
        <v>0</v>
      </c>
      <c r="F168" s="36">
        <f t="shared" si="144"/>
        <v>0</v>
      </c>
      <c r="G168" s="39">
        <f>IFERROR(AVERAGEIF('Daily Input'!L338:L367,"&gt;0"),0)</f>
        <v>0</v>
      </c>
      <c r="H168" s="17">
        <f>MAX('Daily Input'!L338:L367)</f>
        <v>0</v>
      </c>
    </row>
    <row r="169" ht="15.75" customHeight="1">
      <c r="A169" s="38" t="s">
        <v>5</v>
      </c>
      <c r="B169" s="17">
        <f>'Daily Input'!O368</f>
        <v>0</v>
      </c>
      <c r="C169" s="17">
        <f>'Daily Input'!P368</f>
        <v>0</v>
      </c>
      <c r="D169" s="17">
        <f>'Daily Input'!Q368</f>
        <v>0</v>
      </c>
      <c r="E169" s="36">
        <f t="shared" ref="E169:F169" si="145">IF(B169=0,0,C169/B169)</f>
        <v>0</v>
      </c>
      <c r="F169" s="36">
        <f t="shared" si="145"/>
        <v>0</v>
      </c>
      <c r="G169" s="39">
        <f>IFERROR(AVERAGEIF('Daily Input'!O338:O367,"&gt;0"),0)</f>
        <v>0</v>
      </c>
      <c r="H169" s="17">
        <f>MAX('Daily Input'!O338:O367)</f>
        <v>0</v>
      </c>
    </row>
    <row r="170" ht="15.75" customHeight="1">
      <c r="A170" s="38" t="s">
        <v>6</v>
      </c>
      <c r="B170" s="17">
        <f>'Daily Input'!R368</f>
        <v>0</v>
      </c>
      <c r="C170" s="17">
        <f>'Daily Input'!S368</f>
        <v>0</v>
      </c>
      <c r="D170" s="17">
        <f>'Daily Input'!T368</f>
        <v>0</v>
      </c>
      <c r="E170" s="36">
        <f t="shared" ref="E170:F170" si="146">IF(B170=0,0,C170/B170)</f>
        <v>0</v>
      </c>
      <c r="F170" s="36">
        <f t="shared" si="146"/>
        <v>0</v>
      </c>
      <c r="G170" s="39">
        <f>IFERROR(AVERAGEIF('Daily Input'!R338:R367,"&gt;0"),0)</f>
        <v>0</v>
      </c>
      <c r="H170" s="17">
        <f>MAX('Daily Input'!R338:R367)</f>
        <v>0</v>
      </c>
    </row>
    <row r="171" ht="15.75" customHeight="1">
      <c r="A171" s="38" t="s">
        <v>7</v>
      </c>
      <c r="B171" s="17">
        <f>'Daily Input'!U368</f>
        <v>0</v>
      </c>
      <c r="C171" s="17">
        <f>'Daily Input'!V368</f>
        <v>0</v>
      </c>
      <c r="D171" s="17">
        <f>'Daily Input'!W368</f>
        <v>0</v>
      </c>
      <c r="E171" s="36">
        <f t="shared" ref="E171:F171" si="147">IF(B171=0,0,C171/B171)</f>
        <v>0</v>
      </c>
      <c r="F171" s="36">
        <f t="shared" si="147"/>
        <v>0</v>
      </c>
      <c r="G171" s="39">
        <f>IFERROR(AVERAGEIF('Daily Input'!U338:U367,"&gt;0"),0)</f>
        <v>0</v>
      </c>
      <c r="H171" s="17">
        <f>MAX('Daily Input'!U338:U367)</f>
        <v>0</v>
      </c>
    </row>
    <row r="172" ht="15.75" customHeight="1">
      <c r="A172" s="38" t="s">
        <v>8</v>
      </c>
      <c r="B172" s="17">
        <f>'Daily Input'!X368</f>
        <v>0</v>
      </c>
      <c r="C172" s="17">
        <f>'Daily Input'!Y368</f>
        <v>0</v>
      </c>
      <c r="D172" s="17">
        <f>'Daily Input'!Z368</f>
        <v>0</v>
      </c>
      <c r="E172" s="36">
        <f t="shared" ref="E172:F172" si="148">IF(B172=0,0,C172/B172)</f>
        <v>0</v>
      </c>
      <c r="F172" s="36">
        <f t="shared" si="148"/>
        <v>0</v>
      </c>
      <c r="G172" s="39">
        <f>IFERROR(AVERAGEIF('Daily Input'!X338:X367,"&gt;0"),0)</f>
        <v>0</v>
      </c>
      <c r="H172" s="17">
        <f>MAX('Daily Input'!X338:X367)</f>
        <v>0</v>
      </c>
    </row>
    <row r="173" ht="15.75" customHeight="1">
      <c r="A173" s="38" t="s">
        <v>9</v>
      </c>
      <c r="B173" s="17">
        <f>'Daily Input'!AA368</f>
        <v>0</v>
      </c>
      <c r="C173" s="17">
        <f>'Daily Input'!AB368</f>
        <v>0</v>
      </c>
      <c r="D173" s="17">
        <f>'Daily Input'!AC368</f>
        <v>0</v>
      </c>
      <c r="E173" s="36">
        <f t="shared" ref="E173:F173" si="149">IF(B173=0,0,C173/B173)</f>
        <v>0</v>
      </c>
      <c r="F173" s="36">
        <f t="shared" si="149"/>
        <v>0</v>
      </c>
      <c r="G173" s="39">
        <f>IFERROR(AVERAGEIF('Daily Input'!AA338:AA367,"&gt;0"),0)</f>
        <v>0</v>
      </c>
      <c r="H173" s="17">
        <f>MAX('Daily Input'!AA338:AA367)</f>
        <v>0</v>
      </c>
    </row>
    <row r="174" ht="15.75" customHeight="1">
      <c r="A174" s="38" t="s">
        <v>10</v>
      </c>
      <c r="B174" s="17">
        <f>'Daily Input'!AD368</f>
        <v>0</v>
      </c>
      <c r="C174" s="17">
        <f>'Daily Input'!AE368</f>
        <v>0</v>
      </c>
      <c r="D174" s="17">
        <f>'Daily Input'!AF368</f>
        <v>0</v>
      </c>
      <c r="E174" s="36">
        <f t="shared" ref="E174:F174" si="150">IF(B174=0,0,C174/B174)</f>
        <v>0</v>
      </c>
      <c r="F174" s="36">
        <f t="shared" si="150"/>
        <v>0</v>
      </c>
      <c r="G174" s="39">
        <f>IFERROR(AVERAGEIF('Daily Input'!AD338:AD367,"&gt;0"),0)</f>
        <v>0</v>
      </c>
      <c r="H174" s="17">
        <f>MAX('Daily Input'!AD338:AD367)</f>
        <v>0</v>
      </c>
    </row>
    <row r="175" ht="15.75" customHeight="1">
      <c r="A175" s="38" t="s">
        <v>11</v>
      </c>
      <c r="B175" s="17">
        <f>'Daily Input'!AG368</f>
        <v>0</v>
      </c>
      <c r="C175" s="17">
        <f>'Daily Input'!AH368</f>
        <v>0</v>
      </c>
      <c r="D175" s="17">
        <f>'Daily Input'!AI368</f>
        <v>0</v>
      </c>
      <c r="E175" s="36">
        <f t="shared" ref="E175:F175" si="151">IF(B175=0,0,C175/B175)</f>
        <v>0</v>
      </c>
      <c r="F175" s="36">
        <f t="shared" si="151"/>
        <v>0</v>
      </c>
      <c r="G175" s="39">
        <f>IFERROR(AVERAGEIF('Daily Input'!AG338:AG367,"&gt;0"),0)</f>
        <v>0</v>
      </c>
      <c r="H175" s="17">
        <f>MAX('Daily Input'!AG338:AG367)</f>
        <v>0</v>
      </c>
    </row>
    <row r="176" ht="15.75" customHeight="1">
      <c r="A176" s="38" t="s">
        <v>12</v>
      </c>
      <c r="B176" s="17">
        <f>'Daily Input'!AJ368</f>
        <v>0</v>
      </c>
      <c r="C176" s="17">
        <f>'Daily Input'!AK368</f>
        <v>0</v>
      </c>
      <c r="D176" s="17">
        <f>'Daily Input'!AL368</f>
        <v>0</v>
      </c>
      <c r="E176" s="36">
        <f t="shared" ref="E176:F176" si="152">IF(B176=0,0,C176/B176)</f>
        <v>0</v>
      </c>
      <c r="F176" s="36">
        <f t="shared" si="152"/>
        <v>0</v>
      </c>
      <c r="G176" s="39">
        <f>IFERROR(AVERAGEIF('Daily Input'!AJ338:AJ367,"&gt;0"),0)</f>
        <v>0</v>
      </c>
      <c r="H176" s="17">
        <f>MAX('Daily Input'!AJ338:AJ367)</f>
        <v>0</v>
      </c>
    </row>
    <row r="177" ht="15.75" customHeight="1">
      <c r="A177" s="40" t="s">
        <v>59</v>
      </c>
      <c r="B177" s="41">
        <f t="shared" ref="B177:D177" si="153">SUM(B165:B176)</f>
        <v>0</v>
      </c>
      <c r="C177" s="41">
        <f t="shared" si="153"/>
        <v>0</v>
      </c>
      <c r="D177" s="41">
        <f t="shared" si="153"/>
        <v>0</v>
      </c>
      <c r="E177" s="42">
        <f t="shared" ref="E177:F177" si="154">IF(B177=0,0,C177/B177)</f>
        <v>0</v>
      </c>
      <c r="F177" s="42">
        <f t="shared" si="154"/>
        <v>0</v>
      </c>
      <c r="G177" s="43">
        <f>IFERROR(AVERAGE(G165:G176),0)</f>
        <v>0</v>
      </c>
      <c r="H177" s="41">
        <f>MAX(H165:H176)</f>
        <v>0</v>
      </c>
    </row>
    <row r="178" ht="15.75" customHeight="1"/>
    <row r="179" ht="15.75" customHeight="1">
      <c r="A179" s="9" t="s">
        <v>50</v>
      </c>
      <c r="B179" s="4"/>
      <c r="C179" s="4"/>
      <c r="D179" s="4"/>
      <c r="E179" s="4"/>
      <c r="F179" s="4"/>
      <c r="G179" s="4"/>
      <c r="H179" s="5"/>
    </row>
    <row r="180" ht="15.75" customHeight="1">
      <c r="A180" s="34" t="s">
        <v>55</v>
      </c>
      <c r="B180" s="34" t="s">
        <v>16</v>
      </c>
      <c r="C180" s="34" t="s">
        <v>17</v>
      </c>
      <c r="D180" s="34" t="s">
        <v>56</v>
      </c>
      <c r="E180" s="34" t="s">
        <v>57</v>
      </c>
      <c r="F180" s="34" t="s">
        <v>58</v>
      </c>
      <c r="G180" s="34" t="s">
        <v>113</v>
      </c>
      <c r="H180" s="34" t="s">
        <v>114</v>
      </c>
    </row>
    <row r="181" ht="15.75" customHeight="1">
      <c r="A181" s="38" t="s">
        <v>1</v>
      </c>
      <c r="B181" s="17">
        <f>'Daily Input'!C402</f>
        <v>0</v>
      </c>
      <c r="C181" s="17">
        <f>'Daily Input'!D402</f>
        <v>0</v>
      </c>
      <c r="D181" s="17">
        <f>'Daily Input'!E402</f>
        <v>0</v>
      </c>
      <c r="E181" s="36">
        <f t="shared" ref="E181:F181" si="155">IF(B181=0,0,C181/B181)</f>
        <v>0</v>
      </c>
      <c r="F181" s="36">
        <f t="shared" si="155"/>
        <v>0</v>
      </c>
      <c r="G181" s="39">
        <f>IFERROR(AVERAGEIF('Daily Input'!C371:C401,"&gt;0"),0)</f>
        <v>0</v>
      </c>
      <c r="H181" s="17">
        <f>MAX('Daily Input'!C371:C401)</f>
        <v>0</v>
      </c>
    </row>
    <row r="182" ht="15.75" customHeight="1">
      <c r="A182" s="38" t="s">
        <v>2</v>
      </c>
      <c r="B182" s="17">
        <f>'Daily Input'!F402</f>
        <v>0</v>
      </c>
      <c r="C182" s="17">
        <f>'Daily Input'!G402</f>
        <v>0</v>
      </c>
      <c r="D182" s="17">
        <f>'Daily Input'!H402</f>
        <v>0</v>
      </c>
      <c r="E182" s="36">
        <f t="shared" ref="E182:F182" si="156">IF(B182=0,0,C182/B182)</f>
        <v>0</v>
      </c>
      <c r="F182" s="36">
        <f t="shared" si="156"/>
        <v>0</v>
      </c>
      <c r="G182" s="39">
        <f>IFERROR(AVERAGEIF('Daily Input'!F371:F401,"&gt;0"),0)</f>
        <v>0</v>
      </c>
      <c r="H182" s="17">
        <f>MAX('Daily Input'!F371:F401)</f>
        <v>0</v>
      </c>
    </row>
    <row r="183" ht="15.75" customHeight="1">
      <c r="A183" s="38" t="s">
        <v>3</v>
      </c>
      <c r="B183" s="17">
        <f>'Daily Input'!I402</f>
        <v>0</v>
      </c>
      <c r="C183" s="17">
        <f>'Daily Input'!J402</f>
        <v>0</v>
      </c>
      <c r="D183" s="17">
        <f>'Daily Input'!K402</f>
        <v>0</v>
      </c>
      <c r="E183" s="36">
        <f t="shared" ref="E183:F183" si="157">IF(B183=0,0,C183/B183)</f>
        <v>0</v>
      </c>
      <c r="F183" s="36">
        <f t="shared" si="157"/>
        <v>0</v>
      </c>
      <c r="G183" s="39">
        <f>IFERROR(AVERAGEIF('Daily Input'!I371:I401,"&gt;0"),0)</f>
        <v>0</v>
      </c>
      <c r="H183" s="17">
        <f>MAX('Daily Input'!I371:I401)</f>
        <v>0</v>
      </c>
    </row>
    <row r="184" ht="15.75" customHeight="1">
      <c r="A184" s="38" t="s">
        <v>4</v>
      </c>
      <c r="B184" s="17">
        <f>'Daily Input'!L402</f>
        <v>0</v>
      </c>
      <c r="C184" s="17">
        <f>'Daily Input'!M402</f>
        <v>0</v>
      </c>
      <c r="D184" s="17">
        <f>'Daily Input'!N402</f>
        <v>0</v>
      </c>
      <c r="E184" s="36">
        <f t="shared" ref="E184:F184" si="158">IF(B184=0,0,C184/B184)</f>
        <v>0</v>
      </c>
      <c r="F184" s="36">
        <f t="shared" si="158"/>
        <v>0</v>
      </c>
      <c r="G184" s="39">
        <f>IFERROR(AVERAGEIF('Daily Input'!L371:L401,"&gt;0"),0)</f>
        <v>0</v>
      </c>
      <c r="H184" s="17">
        <f>MAX('Daily Input'!L371:L401)</f>
        <v>0</v>
      </c>
    </row>
    <row r="185" ht="15.75" customHeight="1">
      <c r="A185" s="38" t="s">
        <v>5</v>
      </c>
      <c r="B185" s="17">
        <f>'Daily Input'!O402</f>
        <v>0</v>
      </c>
      <c r="C185" s="17">
        <f>'Daily Input'!P402</f>
        <v>0</v>
      </c>
      <c r="D185" s="17">
        <f>'Daily Input'!Q402</f>
        <v>0</v>
      </c>
      <c r="E185" s="36">
        <f t="shared" ref="E185:F185" si="159">IF(B185=0,0,C185/B185)</f>
        <v>0</v>
      </c>
      <c r="F185" s="36">
        <f t="shared" si="159"/>
        <v>0</v>
      </c>
      <c r="G185" s="39">
        <f>IFERROR(AVERAGEIF('Daily Input'!O371:O401,"&gt;0"),0)</f>
        <v>0</v>
      </c>
      <c r="H185" s="17">
        <f>MAX('Daily Input'!O371:O401)</f>
        <v>0</v>
      </c>
    </row>
    <row r="186" ht="15.75" customHeight="1">
      <c r="A186" s="38" t="s">
        <v>6</v>
      </c>
      <c r="B186" s="17">
        <f>'Daily Input'!R402</f>
        <v>0</v>
      </c>
      <c r="C186" s="17">
        <f>'Daily Input'!S402</f>
        <v>0</v>
      </c>
      <c r="D186" s="17">
        <f>'Daily Input'!T402</f>
        <v>0</v>
      </c>
      <c r="E186" s="36">
        <f t="shared" ref="E186:F186" si="160">IF(B186=0,0,C186/B186)</f>
        <v>0</v>
      </c>
      <c r="F186" s="36">
        <f t="shared" si="160"/>
        <v>0</v>
      </c>
      <c r="G186" s="39">
        <f>IFERROR(AVERAGEIF('Daily Input'!R371:R401,"&gt;0"),0)</f>
        <v>0</v>
      </c>
      <c r="H186" s="17">
        <f>MAX('Daily Input'!R371:R401)</f>
        <v>0</v>
      </c>
    </row>
    <row r="187" ht="15.75" customHeight="1">
      <c r="A187" s="38" t="s">
        <v>7</v>
      </c>
      <c r="B187" s="17">
        <f>'Daily Input'!U402</f>
        <v>0</v>
      </c>
      <c r="C187" s="17">
        <f>'Daily Input'!V402</f>
        <v>0</v>
      </c>
      <c r="D187" s="17">
        <f>'Daily Input'!W402</f>
        <v>0</v>
      </c>
      <c r="E187" s="36">
        <f t="shared" ref="E187:F187" si="161">IF(B187=0,0,C187/B187)</f>
        <v>0</v>
      </c>
      <c r="F187" s="36">
        <f t="shared" si="161"/>
        <v>0</v>
      </c>
      <c r="G187" s="39">
        <f>IFERROR(AVERAGEIF('Daily Input'!U371:U401,"&gt;0"),0)</f>
        <v>0</v>
      </c>
      <c r="H187" s="17">
        <f>MAX('Daily Input'!U371:U401)</f>
        <v>0</v>
      </c>
    </row>
    <row r="188" ht="15.75" customHeight="1">
      <c r="A188" s="38" t="s">
        <v>8</v>
      </c>
      <c r="B188" s="17">
        <f>'Daily Input'!X402</f>
        <v>0</v>
      </c>
      <c r="C188" s="17">
        <f>'Daily Input'!Y402</f>
        <v>0</v>
      </c>
      <c r="D188" s="17">
        <f>'Daily Input'!Z402</f>
        <v>0</v>
      </c>
      <c r="E188" s="36">
        <f t="shared" ref="E188:F188" si="162">IF(B188=0,0,C188/B188)</f>
        <v>0</v>
      </c>
      <c r="F188" s="36">
        <f t="shared" si="162"/>
        <v>0</v>
      </c>
      <c r="G188" s="39">
        <f>IFERROR(AVERAGEIF('Daily Input'!X371:X401,"&gt;0"),0)</f>
        <v>0</v>
      </c>
      <c r="H188" s="17">
        <f>MAX('Daily Input'!X371:X401)</f>
        <v>0</v>
      </c>
    </row>
    <row r="189" ht="15.75" customHeight="1">
      <c r="A189" s="38" t="s">
        <v>9</v>
      </c>
      <c r="B189" s="17">
        <f>'Daily Input'!AA402</f>
        <v>0</v>
      </c>
      <c r="C189" s="17">
        <f>'Daily Input'!AB402</f>
        <v>0</v>
      </c>
      <c r="D189" s="17">
        <f>'Daily Input'!AC402</f>
        <v>0</v>
      </c>
      <c r="E189" s="36">
        <f t="shared" ref="E189:F189" si="163">IF(B189=0,0,C189/B189)</f>
        <v>0</v>
      </c>
      <c r="F189" s="36">
        <f t="shared" si="163"/>
        <v>0</v>
      </c>
      <c r="G189" s="39">
        <f>IFERROR(AVERAGEIF('Daily Input'!AA371:AA401,"&gt;0"),0)</f>
        <v>0</v>
      </c>
      <c r="H189" s="17">
        <f>MAX('Daily Input'!AA371:AA401)</f>
        <v>0</v>
      </c>
    </row>
    <row r="190" ht="15.75" customHeight="1">
      <c r="A190" s="38" t="s">
        <v>10</v>
      </c>
      <c r="B190" s="17">
        <f>'Daily Input'!AD402</f>
        <v>0</v>
      </c>
      <c r="C190" s="17">
        <f>'Daily Input'!AE402</f>
        <v>0</v>
      </c>
      <c r="D190" s="17">
        <f>'Daily Input'!AF402</f>
        <v>0</v>
      </c>
      <c r="E190" s="36">
        <f t="shared" ref="E190:F190" si="164">IF(B190=0,0,C190/B190)</f>
        <v>0</v>
      </c>
      <c r="F190" s="36">
        <f t="shared" si="164"/>
        <v>0</v>
      </c>
      <c r="G190" s="39">
        <f>IFERROR(AVERAGEIF('Daily Input'!AD371:AD401,"&gt;0"),0)</f>
        <v>0</v>
      </c>
      <c r="H190" s="17">
        <f>MAX('Daily Input'!AD371:AD401)</f>
        <v>0</v>
      </c>
    </row>
    <row r="191" ht="15.75" customHeight="1">
      <c r="A191" s="38" t="s">
        <v>11</v>
      </c>
      <c r="B191" s="17">
        <f>'Daily Input'!AG402</f>
        <v>0</v>
      </c>
      <c r="C191" s="17">
        <f>'Daily Input'!AH402</f>
        <v>0</v>
      </c>
      <c r="D191" s="17">
        <f>'Daily Input'!AI402</f>
        <v>0</v>
      </c>
      <c r="E191" s="36">
        <f t="shared" ref="E191:F191" si="165">IF(B191=0,0,C191/B191)</f>
        <v>0</v>
      </c>
      <c r="F191" s="36">
        <f t="shared" si="165"/>
        <v>0</v>
      </c>
      <c r="G191" s="39">
        <f>IFERROR(AVERAGEIF('Daily Input'!AG371:AG401,"&gt;0"),0)</f>
        <v>0</v>
      </c>
      <c r="H191" s="17">
        <f>MAX('Daily Input'!AG371:AG401)</f>
        <v>0</v>
      </c>
    </row>
    <row r="192" ht="15.75" customHeight="1">
      <c r="A192" s="38" t="s">
        <v>12</v>
      </c>
      <c r="B192" s="17">
        <f>'Daily Input'!AJ402</f>
        <v>0</v>
      </c>
      <c r="C192" s="17">
        <f>'Daily Input'!AK402</f>
        <v>0</v>
      </c>
      <c r="D192" s="17">
        <f>'Daily Input'!AL402</f>
        <v>0</v>
      </c>
      <c r="E192" s="36">
        <f t="shared" ref="E192:F192" si="166">IF(B192=0,0,C192/B192)</f>
        <v>0</v>
      </c>
      <c r="F192" s="36">
        <f t="shared" si="166"/>
        <v>0</v>
      </c>
      <c r="G192" s="39">
        <f>IFERROR(AVERAGEIF('Daily Input'!AJ371:AJ401,"&gt;0"),0)</f>
        <v>0</v>
      </c>
      <c r="H192" s="17">
        <f>MAX('Daily Input'!AJ371:AJ401)</f>
        <v>0</v>
      </c>
    </row>
    <row r="193" ht="15.75" customHeight="1">
      <c r="A193" s="40" t="s">
        <v>59</v>
      </c>
      <c r="B193" s="41">
        <f t="shared" ref="B193:D193" si="167">SUM(B181:B192)</f>
        <v>0</v>
      </c>
      <c r="C193" s="41">
        <f t="shared" si="167"/>
        <v>0</v>
      </c>
      <c r="D193" s="41">
        <f t="shared" si="167"/>
        <v>0</v>
      </c>
      <c r="E193" s="42">
        <f t="shared" ref="E193:F193" si="168">IF(B193=0,0,C193/B193)</f>
        <v>0</v>
      </c>
      <c r="F193" s="42">
        <f t="shared" si="168"/>
        <v>0</v>
      </c>
      <c r="G193" s="43">
        <f>IFERROR(AVERAGE(G181:G192),0)</f>
        <v>0</v>
      </c>
      <c r="H193" s="41">
        <f>MAX(H181:H192)</f>
        <v>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99:H99"/>
    <mergeCell ref="A115:H115"/>
    <mergeCell ref="A131:H131"/>
    <mergeCell ref="A147:H147"/>
    <mergeCell ref="A163:H163"/>
    <mergeCell ref="A179:H179"/>
    <mergeCell ref="A1:H1"/>
    <mergeCell ref="A3:H3"/>
    <mergeCell ref="A19:H19"/>
    <mergeCell ref="A35:H35"/>
    <mergeCell ref="A51:H51"/>
    <mergeCell ref="A67:H67"/>
    <mergeCell ref="A83:H8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8B22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4.0"/>
    <col customWidth="1" min="7" max="26" width="8.71"/>
  </cols>
  <sheetData>
    <row r="1" ht="36.0" customHeight="1">
      <c r="A1" s="31" t="s">
        <v>115</v>
      </c>
    </row>
    <row r="3">
      <c r="A3" s="44" t="s">
        <v>116</v>
      </c>
      <c r="B3" s="4"/>
      <c r="C3" s="4"/>
      <c r="D3" s="4"/>
      <c r="E3" s="4"/>
      <c r="F3" s="5"/>
    </row>
    <row r="4">
      <c r="A4" s="7" t="s">
        <v>117</v>
      </c>
      <c r="B4" s="7" t="s">
        <v>16</v>
      </c>
      <c r="C4" s="7" t="s">
        <v>17</v>
      </c>
      <c r="D4" s="7" t="s">
        <v>56</v>
      </c>
      <c r="E4" s="7" t="s">
        <v>57</v>
      </c>
      <c r="F4" s="7" t="s">
        <v>58</v>
      </c>
    </row>
    <row r="5">
      <c r="A5" s="35" t="s">
        <v>118</v>
      </c>
      <c r="B5" s="17">
        <f>'Daily Input'!C35</f>
        <v>22</v>
      </c>
      <c r="C5" s="17">
        <f>'Daily Input'!D35</f>
        <v>13</v>
      </c>
      <c r="D5" s="17">
        <f>'Daily Input'!E35</f>
        <v>0</v>
      </c>
      <c r="E5" s="18">
        <f t="shared" ref="E5:F5" si="1">IF(B5=0,0,C5/B5)</f>
        <v>0.5909090909</v>
      </c>
      <c r="F5" s="18">
        <f t="shared" si="1"/>
        <v>0</v>
      </c>
    </row>
    <row r="6">
      <c r="A6" s="35" t="s">
        <v>119</v>
      </c>
      <c r="B6" s="17">
        <f>'Daily Input'!C66</f>
        <v>0</v>
      </c>
      <c r="C6" s="17">
        <f>'Daily Input'!D66</f>
        <v>0</v>
      </c>
      <c r="D6" s="17">
        <f>'Daily Input'!E66</f>
        <v>0</v>
      </c>
      <c r="E6" s="18">
        <f t="shared" ref="E6:F6" si="2">IF(B6=0,0,C6/B6)</f>
        <v>0</v>
      </c>
      <c r="F6" s="18">
        <f t="shared" si="2"/>
        <v>0</v>
      </c>
    </row>
    <row r="7">
      <c r="A7" s="35" t="s">
        <v>120</v>
      </c>
      <c r="B7" s="17">
        <f>'Daily Input'!C100</f>
        <v>0</v>
      </c>
      <c r="C7" s="17">
        <f>'Daily Input'!D100</f>
        <v>0</v>
      </c>
      <c r="D7" s="17">
        <f>'Daily Input'!E100</f>
        <v>0</v>
      </c>
      <c r="E7" s="18">
        <f t="shared" ref="E7:F7" si="3">IF(B7=0,0,C7/B7)</f>
        <v>0</v>
      </c>
      <c r="F7" s="18">
        <f t="shared" si="3"/>
        <v>0</v>
      </c>
    </row>
    <row r="8">
      <c r="A8" s="35" t="s">
        <v>121</v>
      </c>
      <c r="B8" s="17">
        <f>'Daily Input'!C133</f>
        <v>0</v>
      </c>
      <c r="C8" s="17">
        <f>'Daily Input'!D133</f>
        <v>0</v>
      </c>
      <c r="D8" s="17">
        <f>'Daily Input'!E133</f>
        <v>0</v>
      </c>
      <c r="E8" s="18">
        <f t="shared" ref="E8:F8" si="4">IF(B8=0,0,C8/B8)</f>
        <v>0</v>
      </c>
      <c r="F8" s="18">
        <f t="shared" si="4"/>
        <v>0</v>
      </c>
    </row>
    <row r="9">
      <c r="A9" s="35" t="s">
        <v>122</v>
      </c>
      <c r="B9" s="17">
        <f>'Daily Input'!C167</f>
        <v>0</v>
      </c>
      <c r="C9" s="17">
        <f>'Daily Input'!D167</f>
        <v>0</v>
      </c>
      <c r="D9" s="17">
        <f>'Daily Input'!E167</f>
        <v>0</v>
      </c>
      <c r="E9" s="18">
        <f t="shared" ref="E9:F9" si="5">IF(B9=0,0,C9/B9)</f>
        <v>0</v>
      </c>
      <c r="F9" s="18">
        <f t="shared" si="5"/>
        <v>0</v>
      </c>
    </row>
    <row r="10">
      <c r="A10" s="35" t="s">
        <v>123</v>
      </c>
      <c r="B10" s="17">
        <f>'Daily Input'!C200</f>
        <v>0</v>
      </c>
      <c r="C10" s="17">
        <f>'Daily Input'!D200</f>
        <v>0</v>
      </c>
      <c r="D10" s="17">
        <f>'Daily Input'!E200</f>
        <v>0</v>
      </c>
      <c r="E10" s="18">
        <f t="shared" ref="E10:F10" si="6">IF(B10=0,0,C10/B10)</f>
        <v>0</v>
      </c>
      <c r="F10" s="18">
        <f t="shared" si="6"/>
        <v>0</v>
      </c>
    </row>
    <row r="11">
      <c r="A11" s="35" t="s">
        <v>124</v>
      </c>
      <c r="B11" s="17">
        <f>'Daily Input'!C234</f>
        <v>0</v>
      </c>
      <c r="C11" s="17">
        <f>'Daily Input'!D234</f>
        <v>0</v>
      </c>
      <c r="D11" s="17">
        <f>'Daily Input'!E234</f>
        <v>0</v>
      </c>
      <c r="E11" s="18">
        <f t="shared" ref="E11:F11" si="7">IF(B11=0,0,C11/B11)</f>
        <v>0</v>
      </c>
      <c r="F11" s="18">
        <f t="shared" si="7"/>
        <v>0</v>
      </c>
    </row>
    <row r="12">
      <c r="A12" s="35" t="s">
        <v>125</v>
      </c>
      <c r="B12" s="17">
        <f>'Daily Input'!C268</f>
        <v>0</v>
      </c>
      <c r="C12" s="17">
        <f>'Daily Input'!D268</f>
        <v>0</v>
      </c>
      <c r="D12" s="17">
        <f>'Daily Input'!E268</f>
        <v>0</v>
      </c>
      <c r="E12" s="18">
        <f t="shared" ref="E12:F12" si="8">IF(B12=0,0,C12/B12)</f>
        <v>0</v>
      </c>
      <c r="F12" s="18">
        <f t="shared" si="8"/>
        <v>0</v>
      </c>
    </row>
    <row r="13">
      <c r="A13" s="35" t="s">
        <v>126</v>
      </c>
      <c r="B13" s="17">
        <f>'Daily Input'!C301</f>
        <v>0</v>
      </c>
      <c r="C13" s="17">
        <f>'Daily Input'!D301</f>
        <v>0</v>
      </c>
      <c r="D13" s="17">
        <f>'Daily Input'!E301</f>
        <v>0</v>
      </c>
      <c r="E13" s="18">
        <f t="shared" ref="E13:F13" si="9">IF(B13=0,0,C13/B13)</f>
        <v>0</v>
      </c>
      <c r="F13" s="18">
        <f t="shared" si="9"/>
        <v>0</v>
      </c>
    </row>
    <row r="14">
      <c r="A14" s="35" t="s">
        <v>127</v>
      </c>
      <c r="B14" s="17">
        <f>'Daily Input'!C335</f>
        <v>0</v>
      </c>
      <c r="C14" s="17">
        <f>'Daily Input'!D335</f>
        <v>0</v>
      </c>
      <c r="D14" s="17">
        <f>'Daily Input'!E335</f>
        <v>0</v>
      </c>
      <c r="E14" s="18">
        <f t="shared" ref="E14:F14" si="10">IF(B14=0,0,C14/B14)</f>
        <v>0</v>
      </c>
      <c r="F14" s="18">
        <f t="shared" si="10"/>
        <v>0</v>
      </c>
    </row>
    <row r="15">
      <c r="A15" s="35" t="s">
        <v>128</v>
      </c>
      <c r="B15" s="17">
        <f>'Daily Input'!C368</f>
        <v>0</v>
      </c>
      <c r="C15" s="17">
        <f>'Daily Input'!D368</f>
        <v>0</v>
      </c>
      <c r="D15" s="17">
        <f>'Daily Input'!E368</f>
        <v>0</v>
      </c>
      <c r="E15" s="18">
        <f t="shared" ref="E15:F15" si="11">IF(B15=0,0,C15/B15)</f>
        <v>0</v>
      </c>
      <c r="F15" s="18">
        <f t="shared" si="11"/>
        <v>0</v>
      </c>
    </row>
    <row r="16">
      <c r="A16" s="35" t="s">
        <v>129</v>
      </c>
      <c r="B16" s="17">
        <f>'Daily Input'!C402</f>
        <v>0</v>
      </c>
      <c r="C16" s="17">
        <f>'Daily Input'!D402</f>
        <v>0</v>
      </c>
      <c r="D16" s="17">
        <f>'Daily Input'!E402</f>
        <v>0</v>
      </c>
      <c r="E16" s="18">
        <f t="shared" ref="E16:F16" si="12">IF(B16=0,0,C16/B16)</f>
        <v>0</v>
      </c>
      <c r="F16" s="18">
        <f t="shared" si="12"/>
        <v>0</v>
      </c>
    </row>
    <row r="17">
      <c r="A17" s="45" t="s">
        <v>130</v>
      </c>
      <c r="B17" s="46">
        <f t="shared" ref="B17:D17" si="13">SUM(B5:B16)</f>
        <v>22</v>
      </c>
      <c r="C17" s="46">
        <f t="shared" si="13"/>
        <v>13</v>
      </c>
      <c r="D17" s="46">
        <f t="shared" si="13"/>
        <v>0</v>
      </c>
      <c r="E17" s="47">
        <f t="shared" ref="E17:F17" si="14">IF(B17=0,0,C17/B17)</f>
        <v>0.5909090909</v>
      </c>
      <c r="F17" s="47">
        <f t="shared" si="14"/>
        <v>0</v>
      </c>
    </row>
    <row r="19">
      <c r="A19" s="44" t="s">
        <v>131</v>
      </c>
      <c r="B19" s="4"/>
      <c r="C19" s="4"/>
      <c r="D19" s="4"/>
      <c r="E19" s="4"/>
      <c r="F19" s="5"/>
    </row>
    <row r="20">
      <c r="A20" s="7" t="s">
        <v>117</v>
      </c>
      <c r="B20" s="7" t="s">
        <v>16</v>
      </c>
      <c r="C20" s="7" t="s">
        <v>17</v>
      </c>
      <c r="D20" s="7" t="s">
        <v>56</v>
      </c>
      <c r="E20" s="7" t="s">
        <v>57</v>
      </c>
      <c r="F20" s="7" t="s">
        <v>58</v>
      </c>
    </row>
    <row r="21" ht="15.75" customHeight="1">
      <c r="A21" s="35" t="s">
        <v>118</v>
      </c>
      <c r="B21" s="17">
        <f>'Daily Input'!F35</f>
        <v>14</v>
      </c>
      <c r="C21" s="17">
        <f>'Daily Input'!G35</f>
        <v>7</v>
      </c>
      <c r="D21" s="17">
        <f>'Daily Input'!H35</f>
        <v>0</v>
      </c>
      <c r="E21" s="18">
        <f t="shared" ref="E21:F21" si="15">IF(B21=0,0,C21/B21)</f>
        <v>0.5</v>
      </c>
      <c r="F21" s="18">
        <f t="shared" si="15"/>
        <v>0</v>
      </c>
    </row>
    <row r="22" ht="15.75" customHeight="1">
      <c r="A22" s="35" t="s">
        <v>119</v>
      </c>
      <c r="B22" s="17">
        <f>'Daily Input'!F66</f>
        <v>0</v>
      </c>
      <c r="C22" s="17">
        <f>'Daily Input'!G66</f>
        <v>0</v>
      </c>
      <c r="D22" s="17">
        <f>'Daily Input'!H66</f>
        <v>0</v>
      </c>
      <c r="E22" s="18">
        <f t="shared" ref="E22:F22" si="16">IF(B22=0,0,C22/B22)</f>
        <v>0</v>
      </c>
      <c r="F22" s="18">
        <f t="shared" si="16"/>
        <v>0</v>
      </c>
    </row>
    <row r="23" ht="15.75" customHeight="1">
      <c r="A23" s="35" t="s">
        <v>120</v>
      </c>
      <c r="B23" s="17">
        <f>'Daily Input'!F100</f>
        <v>0</v>
      </c>
      <c r="C23" s="17">
        <f>'Daily Input'!G100</f>
        <v>0</v>
      </c>
      <c r="D23" s="17">
        <f>'Daily Input'!H100</f>
        <v>0</v>
      </c>
      <c r="E23" s="18">
        <f t="shared" ref="E23:F23" si="17">IF(B23=0,0,C23/B23)</f>
        <v>0</v>
      </c>
      <c r="F23" s="18">
        <f t="shared" si="17"/>
        <v>0</v>
      </c>
    </row>
    <row r="24" ht="15.75" customHeight="1">
      <c r="A24" s="35" t="s">
        <v>121</v>
      </c>
      <c r="B24" s="17">
        <f>'Daily Input'!F133</f>
        <v>0</v>
      </c>
      <c r="C24" s="17">
        <f>'Daily Input'!G133</f>
        <v>0</v>
      </c>
      <c r="D24" s="17">
        <f>'Daily Input'!H133</f>
        <v>0</v>
      </c>
      <c r="E24" s="18">
        <f t="shared" ref="E24:F24" si="18">IF(B24=0,0,C24/B24)</f>
        <v>0</v>
      </c>
      <c r="F24" s="18">
        <f t="shared" si="18"/>
        <v>0</v>
      </c>
    </row>
    <row r="25" ht="15.75" customHeight="1">
      <c r="A25" s="35" t="s">
        <v>122</v>
      </c>
      <c r="B25" s="17">
        <f>'Daily Input'!F167</f>
        <v>0</v>
      </c>
      <c r="C25" s="17">
        <f>'Daily Input'!G167</f>
        <v>0</v>
      </c>
      <c r="D25" s="17">
        <f>'Daily Input'!H167</f>
        <v>0</v>
      </c>
      <c r="E25" s="18">
        <f t="shared" ref="E25:F25" si="19">IF(B25=0,0,C25/B25)</f>
        <v>0</v>
      </c>
      <c r="F25" s="18">
        <f t="shared" si="19"/>
        <v>0</v>
      </c>
    </row>
    <row r="26" ht="15.75" customHeight="1">
      <c r="A26" s="35" t="s">
        <v>123</v>
      </c>
      <c r="B26" s="17">
        <f>'Daily Input'!F200</f>
        <v>0</v>
      </c>
      <c r="C26" s="17">
        <f>'Daily Input'!G200</f>
        <v>0</v>
      </c>
      <c r="D26" s="17">
        <f>'Daily Input'!H200</f>
        <v>0</v>
      </c>
      <c r="E26" s="18">
        <f t="shared" ref="E26:F26" si="20">IF(B26=0,0,C26/B26)</f>
        <v>0</v>
      </c>
      <c r="F26" s="18">
        <f t="shared" si="20"/>
        <v>0</v>
      </c>
    </row>
    <row r="27" ht="15.75" customHeight="1">
      <c r="A27" s="35" t="s">
        <v>124</v>
      </c>
      <c r="B27" s="17">
        <f>'Daily Input'!F234</f>
        <v>0</v>
      </c>
      <c r="C27" s="17">
        <f>'Daily Input'!G234</f>
        <v>0</v>
      </c>
      <c r="D27" s="17">
        <f>'Daily Input'!H234</f>
        <v>0</v>
      </c>
      <c r="E27" s="18">
        <f t="shared" ref="E27:F27" si="21">IF(B27=0,0,C27/B27)</f>
        <v>0</v>
      </c>
      <c r="F27" s="18">
        <f t="shared" si="21"/>
        <v>0</v>
      </c>
    </row>
    <row r="28" ht="15.75" customHeight="1">
      <c r="A28" s="35" t="s">
        <v>125</v>
      </c>
      <c r="B28" s="17">
        <f>'Daily Input'!F268</f>
        <v>0</v>
      </c>
      <c r="C28" s="17">
        <f>'Daily Input'!G268</f>
        <v>0</v>
      </c>
      <c r="D28" s="17">
        <f>'Daily Input'!H268</f>
        <v>0</v>
      </c>
      <c r="E28" s="18">
        <f t="shared" ref="E28:F28" si="22">IF(B28=0,0,C28/B28)</f>
        <v>0</v>
      </c>
      <c r="F28" s="18">
        <f t="shared" si="22"/>
        <v>0</v>
      </c>
    </row>
    <row r="29" ht="15.75" customHeight="1">
      <c r="A29" s="35" t="s">
        <v>126</v>
      </c>
      <c r="B29" s="17">
        <f>'Daily Input'!F301</f>
        <v>0</v>
      </c>
      <c r="C29" s="17">
        <f>'Daily Input'!G301</f>
        <v>0</v>
      </c>
      <c r="D29" s="17">
        <f>'Daily Input'!H301</f>
        <v>0</v>
      </c>
      <c r="E29" s="18">
        <f t="shared" ref="E29:F29" si="23">IF(B29=0,0,C29/B29)</f>
        <v>0</v>
      </c>
      <c r="F29" s="18">
        <f t="shared" si="23"/>
        <v>0</v>
      </c>
    </row>
    <row r="30" ht="15.75" customHeight="1">
      <c r="A30" s="35" t="s">
        <v>127</v>
      </c>
      <c r="B30" s="17">
        <f>'Daily Input'!F335</f>
        <v>0</v>
      </c>
      <c r="C30" s="17">
        <f>'Daily Input'!G335</f>
        <v>0</v>
      </c>
      <c r="D30" s="17">
        <f>'Daily Input'!H335</f>
        <v>0</v>
      </c>
      <c r="E30" s="18">
        <f t="shared" ref="E30:F30" si="24">IF(B30=0,0,C30/B30)</f>
        <v>0</v>
      </c>
      <c r="F30" s="18">
        <f t="shared" si="24"/>
        <v>0</v>
      </c>
    </row>
    <row r="31" ht="15.75" customHeight="1">
      <c r="A31" s="35" t="s">
        <v>128</v>
      </c>
      <c r="B31" s="17">
        <f>'Daily Input'!F368</f>
        <v>0</v>
      </c>
      <c r="C31" s="17">
        <f>'Daily Input'!G368</f>
        <v>0</v>
      </c>
      <c r="D31" s="17">
        <f>'Daily Input'!H368</f>
        <v>0</v>
      </c>
      <c r="E31" s="18">
        <f t="shared" ref="E31:F31" si="25">IF(B31=0,0,C31/B31)</f>
        <v>0</v>
      </c>
      <c r="F31" s="18">
        <f t="shared" si="25"/>
        <v>0</v>
      </c>
    </row>
    <row r="32" ht="15.75" customHeight="1">
      <c r="A32" s="35" t="s">
        <v>129</v>
      </c>
      <c r="B32" s="17">
        <f>'Daily Input'!F402</f>
        <v>0</v>
      </c>
      <c r="C32" s="17">
        <f>'Daily Input'!G402</f>
        <v>0</v>
      </c>
      <c r="D32" s="17">
        <f>'Daily Input'!H402</f>
        <v>0</v>
      </c>
      <c r="E32" s="18">
        <f t="shared" ref="E32:F32" si="26">IF(B32=0,0,C32/B32)</f>
        <v>0</v>
      </c>
      <c r="F32" s="18">
        <f t="shared" si="26"/>
        <v>0</v>
      </c>
    </row>
    <row r="33" ht="15.75" customHeight="1">
      <c r="A33" s="45" t="s">
        <v>130</v>
      </c>
      <c r="B33" s="46">
        <f t="shared" ref="B33:D33" si="27">SUM(B21:B32)</f>
        <v>14</v>
      </c>
      <c r="C33" s="46">
        <f t="shared" si="27"/>
        <v>7</v>
      </c>
      <c r="D33" s="46">
        <f t="shared" si="27"/>
        <v>0</v>
      </c>
      <c r="E33" s="47">
        <f t="shared" ref="E33:F33" si="28">IF(B33=0,0,C33/B33)</f>
        <v>0.5</v>
      </c>
      <c r="F33" s="47">
        <f t="shared" si="28"/>
        <v>0</v>
      </c>
    </row>
    <row r="34" ht="15.75" customHeight="1"/>
    <row r="35" ht="15.75" customHeight="1">
      <c r="A35" s="44" t="s">
        <v>132</v>
      </c>
      <c r="B35" s="4"/>
      <c r="C35" s="4"/>
      <c r="D35" s="4"/>
      <c r="E35" s="4"/>
      <c r="F35" s="5"/>
    </row>
    <row r="36" ht="15.75" customHeight="1">
      <c r="A36" s="7" t="s">
        <v>117</v>
      </c>
      <c r="B36" s="7" t="s">
        <v>16</v>
      </c>
      <c r="C36" s="7" t="s">
        <v>17</v>
      </c>
      <c r="D36" s="7" t="s">
        <v>56</v>
      </c>
      <c r="E36" s="7" t="s">
        <v>57</v>
      </c>
      <c r="F36" s="7" t="s">
        <v>58</v>
      </c>
    </row>
    <row r="37" ht="15.75" customHeight="1">
      <c r="A37" s="35" t="s">
        <v>118</v>
      </c>
      <c r="B37" s="17">
        <f>'Daily Input'!I35</f>
        <v>1</v>
      </c>
      <c r="C37" s="17">
        <f>'Daily Input'!J35</f>
        <v>0</v>
      </c>
      <c r="D37" s="17">
        <f>'Daily Input'!K35</f>
        <v>0</v>
      </c>
      <c r="E37" s="18">
        <f t="shared" ref="E37:F37" si="29">IF(B37=0,0,C37/B37)</f>
        <v>0</v>
      </c>
      <c r="F37" s="18">
        <f t="shared" si="29"/>
        <v>0</v>
      </c>
    </row>
    <row r="38" ht="15.75" customHeight="1">
      <c r="A38" s="35" t="s">
        <v>119</v>
      </c>
      <c r="B38" s="17">
        <f>'Daily Input'!I66</f>
        <v>0</v>
      </c>
      <c r="C38" s="17">
        <f>'Daily Input'!J66</f>
        <v>0</v>
      </c>
      <c r="D38" s="17">
        <f>'Daily Input'!K66</f>
        <v>0</v>
      </c>
      <c r="E38" s="18">
        <f t="shared" ref="E38:F38" si="30">IF(B38=0,0,C38/B38)</f>
        <v>0</v>
      </c>
      <c r="F38" s="18">
        <f t="shared" si="30"/>
        <v>0</v>
      </c>
    </row>
    <row r="39" ht="15.75" customHeight="1">
      <c r="A39" s="35" t="s">
        <v>120</v>
      </c>
      <c r="B39" s="17">
        <f>'Daily Input'!I100</f>
        <v>0</v>
      </c>
      <c r="C39" s="17">
        <f>'Daily Input'!J100</f>
        <v>0</v>
      </c>
      <c r="D39" s="17">
        <f>'Daily Input'!K100</f>
        <v>0</v>
      </c>
      <c r="E39" s="18">
        <f t="shared" ref="E39:F39" si="31">IF(B39=0,0,C39/B39)</f>
        <v>0</v>
      </c>
      <c r="F39" s="18">
        <f t="shared" si="31"/>
        <v>0</v>
      </c>
    </row>
    <row r="40" ht="15.75" customHeight="1">
      <c r="A40" s="35" t="s">
        <v>121</v>
      </c>
      <c r="B40" s="17">
        <f>'Daily Input'!I133</f>
        <v>0</v>
      </c>
      <c r="C40" s="17">
        <f>'Daily Input'!J133</f>
        <v>0</v>
      </c>
      <c r="D40" s="17">
        <f>'Daily Input'!K133</f>
        <v>0</v>
      </c>
      <c r="E40" s="18">
        <f t="shared" ref="E40:F40" si="32">IF(B40=0,0,C40/B40)</f>
        <v>0</v>
      </c>
      <c r="F40" s="18">
        <f t="shared" si="32"/>
        <v>0</v>
      </c>
    </row>
    <row r="41" ht="15.75" customHeight="1">
      <c r="A41" s="35" t="s">
        <v>122</v>
      </c>
      <c r="B41" s="17">
        <f>'Daily Input'!I167</f>
        <v>0</v>
      </c>
      <c r="C41" s="17">
        <f>'Daily Input'!J167</f>
        <v>0</v>
      </c>
      <c r="D41" s="17">
        <f>'Daily Input'!K167</f>
        <v>0</v>
      </c>
      <c r="E41" s="18">
        <f t="shared" ref="E41:F41" si="33">IF(B41=0,0,C41/B41)</f>
        <v>0</v>
      </c>
      <c r="F41" s="18">
        <f t="shared" si="33"/>
        <v>0</v>
      </c>
    </row>
    <row r="42" ht="15.75" customHeight="1">
      <c r="A42" s="35" t="s">
        <v>123</v>
      </c>
      <c r="B42" s="17">
        <f>'Daily Input'!I200</f>
        <v>0</v>
      </c>
      <c r="C42" s="17">
        <f>'Daily Input'!J200</f>
        <v>0</v>
      </c>
      <c r="D42" s="17">
        <f>'Daily Input'!K200</f>
        <v>0</v>
      </c>
      <c r="E42" s="18">
        <f t="shared" ref="E42:F42" si="34">IF(B42=0,0,C42/B42)</f>
        <v>0</v>
      </c>
      <c r="F42" s="18">
        <f t="shared" si="34"/>
        <v>0</v>
      </c>
    </row>
    <row r="43" ht="15.75" customHeight="1">
      <c r="A43" s="35" t="s">
        <v>124</v>
      </c>
      <c r="B43" s="17">
        <f>'Daily Input'!I234</f>
        <v>0</v>
      </c>
      <c r="C43" s="17">
        <f>'Daily Input'!J234</f>
        <v>0</v>
      </c>
      <c r="D43" s="17">
        <f>'Daily Input'!K234</f>
        <v>0</v>
      </c>
      <c r="E43" s="18">
        <f t="shared" ref="E43:F43" si="35">IF(B43=0,0,C43/B43)</f>
        <v>0</v>
      </c>
      <c r="F43" s="18">
        <f t="shared" si="35"/>
        <v>0</v>
      </c>
    </row>
    <row r="44" ht="15.75" customHeight="1">
      <c r="A44" s="35" t="s">
        <v>125</v>
      </c>
      <c r="B44" s="17">
        <f>'Daily Input'!I268</f>
        <v>0</v>
      </c>
      <c r="C44" s="17">
        <f>'Daily Input'!J268</f>
        <v>0</v>
      </c>
      <c r="D44" s="17">
        <f>'Daily Input'!K268</f>
        <v>0</v>
      </c>
      <c r="E44" s="18">
        <f t="shared" ref="E44:F44" si="36">IF(B44=0,0,C44/B44)</f>
        <v>0</v>
      </c>
      <c r="F44" s="18">
        <f t="shared" si="36"/>
        <v>0</v>
      </c>
    </row>
    <row r="45" ht="15.75" customHeight="1">
      <c r="A45" s="35" t="s">
        <v>126</v>
      </c>
      <c r="B45" s="17">
        <f>'Daily Input'!I301</f>
        <v>0</v>
      </c>
      <c r="C45" s="17">
        <f>'Daily Input'!J301</f>
        <v>0</v>
      </c>
      <c r="D45" s="17">
        <f>'Daily Input'!K301</f>
        <v>0</v>
      </c>
      <c r="E45" s="18">
        <f t="shared" ref="E45:F45" si="37">IF(B45=0,0,C45/B45)</f>
        <v>0</v>
      </c>
      <c r="F45" s="18">
        <f t="shared" si="37"/>
        <v>0</v>
      </c>
    </row>
    <row r="46" ht="15.75" customHeight="1">
      <c r="A46" s="35" t="s">
        <v>127</v>
      </c>
      <c r="B46" s="17">
        <f>'Daily Input'!I335</f>
        <v>0</v>
      </c>
      <c r="C46" s="17">
        <f>'Daily Input'!J335</f>
        <v>0</v>
      </c>
      <c r="D46" s="17">
        <f>'Daily Input'!K335</f>
        <v>0</v>
      </c>
      <c r="E46" s="18">
        <f t="shared" ref="E46:F46" si="38">IF(B46=0,0,C46/B46)</f>
        <v>0</v>
      </c>
      <c r="F46" s="18">
        <f t="shared" si="38"/>
        <v>0</v>
      </c>
    </row>
    <row r="47" ht="15.75" customHeight="1">
      <c r="A47" s="35" t="s">
        <v>128</v>
      </c>
      <c r="B47" s="17">
        <f>'Daily Input'!I368</f>
        <v>0</v>
      </c>
      <c r="C47" s="17">
        <f>'Daily Input'!J368</f>
        <v>0</v>
      </c>
      <c r="D47" s="17">
        <f>'Daily Input'!K368</f>
        <v>0</v>
      </c>
      <c r="E47" s="18">
        <f t="shared" ref="E47:F47" si="39">IF(B47=0,0,C47/B47)</f>
        <v>0</v>
      </c>
      <c r="F47" s="18">
        <f t="shared" si="39"/>
        <v>0</v>
      </c>
    </row>
    <row r="48" ht="15.75" customHeight="1">
      <c r="A48" s="35" t="s">
        <v>129</v>
      </c>
      <c r="B48" s="17">
        <f>'Daily Input'!I402</f>
        <v>0</v>
      </c>
      <c r="C48" s="17">
        <f>'Daily Input'!J402</f>
        <v>0</v>
      </c>
      <c r="D48" s="17">
        <f>'Daily Input'!K402</f>
        <v>0</v>
      </c>
      <c r="E48" s="18">
        <f t="shared" ref="E48:F48" si="40">IF(B48=0,0,C48/B48)</f>
        <v>0</v>
      </c>
      <c r="F48" s="18">
        <f t="shared" si="40"/>
        <v>0</v>
      </c>
    </row>
    <row r="49" ht="15.75" customHeight="1">
      <c r="A49" s="45" t="s">
        <v>130</v>
      </c>
      <c r="B49" s="46">
        <f t="shared" ref="B49:D49" si="41">SUM(B37:B48)</f>
        <v>1</v>
      </c>
      <c r="C49" s="46">
        <f t="shared" si="41"/>
        <v>0</v>
      </c>
      <c r="D49" s="46">
        <f t="shared" si="41"/>
        <v>0</v>
      </c>
      <c r="E49" s="47">
        <f t="shared" ref="E49:F49" si="42">IF(B49=0,0,C49/B49)</f>
        <v>0</v>
      </c>
      <c r="F49" s="47">
        <f t="shared" si="42"/>
        <v>0</v>
      </c>
    </row>
    <row r="50" ht="15.75" customHeight="1"/>
    <row r="51" ht="15.75" customHeight="1">
      <c r="A51" s="44" t="s">
        <v>133</v>
      </c>
      <c r="B51" s="4"/>
      <c r="C51" s="4"/>
      <c r="D51" s="4"/>
      <c r="E51" s="4"/>
      <c r="F51" s="5"/>
    </row>
    <row r="52" ht="15.75" customHeight="1">
      <c r="A52" s="7" t="s">
        <v>117</v>
      </c>
      <c r="B52" s="7" t="s">
        <v>16</v>
      </c>
      <c r="C52" s="7" t="s">
        <v>17</v>
      </c>
      <c r="D52" s="7" t="s">
        <v>56</v>
      </c>
      <c r="E52" s="7" t="s">
        <v>57</v>
      </c>
      <c r="F52" s="7" t="s">
        <v>58</v>
      </c>
    </row>
    <row r="53" ht="15.75" customHeight="1">
      <c r="A53" s="35" t="s">
        <v>118</v>
      </c>
      <c r="B53" s="17">
        <f>'Daily Input'!L35</f>
        <v>17</v>
      </c>
      <c r="C53" s="17">
        <f>'Daily Input'!M35</f>
        <v>10</v>
      </c>
      <c r="D53" s="17">
        <f>'Daily Input'!N35</f>
        <v>0</v>
      </c>
      <c r="E53" s="18">
        <f t="shared" ref="E53:F53" si="43">IF(B53=0,0,C53/B53)</f>
        <v>0.5882352941</v>
      </c>
      <c r="F53" s="18">
        <f t="shared" si="43"/>
        <v>0</v>
      </c>
    </row>
    <row r="54" ht="15.75" customHeight="1">
      <c r="A54" s="35" t="s">
        <v>119</v>
      </c>
      <c r="B54" s="17">
        <f>'Daily Input'!L66</f>
        <v>0</v>
      </c>
      <c r="C54" s="17">
        <f>'Daily Input'!M66</f>
        <v>0</v>
      </c>
      <c r="D54" s="17">
        <f>'Daily Input'!N66</f>
        <v>0</v>
      </c>
      <c r="E54" s="18">
        <f t="shared" ref="E54:F54" si="44">IF(B54=0,0,C54/B54)</f>
        <v>0</v>
      </c>
      <c r="F54" s="18">
        <f t="shared" si="44"/>
        <v>0</v>
      </c>
    </row>
    <row r="55" ht="15.75" customHeight="1">
      <c r="A55" s="35" t="s">
        <v>120</v>
      </c>
      <c r="B55" s="17">
        <f>'Daily Input'!L100</f>
        <v>0</v>
      </c>
      <c r="C55" s="17">
        <f>'Daily Input'!M100</f>
        <v>0</v>
      </c>
      <c r="D55" s="17">
        <f>'Daily Input'!N100</f>
        <v>0</v>
      </c>
      <c r="E55" s="18">
        <f t="shared" ref="E55:F55" si="45">IF(B55=0,0,C55/B55)</f>
        <v>0</v>
      </c>
      <c r="F55" s="18">
        <f t="shared" si="45"/>
        <v>0</v>
      </c>
    </row>
    <row r="56" ht="15.75" customHeight="1">
      <c r="A56" s="35" t="s">
        <v>121</v>
      </c>
      <c r="B56" s="17">
        <f>'Daily Input'!L133</f>
        <v>0</v>
      </c>
      <c r="C56" s="17">
        <f>'Daily Input'!M133</f>
        <v>0</v>
      </c>
      <c r="D56" s="17">
        <f>'Daily Input'!N133</f>
        <v>0</v>
      </c>
      <c r="E56" s="18">
        <f t="shared" ref="E56:F56" si="46">IF(B56=0,0,C56/B56)</f>
        <v>0</v>
      </c>
      <c r="F56" s="18">
        <f t="shared" si="46"/>
        <v>0</v>
      </c>
    </row>
    <row r="57" ht="15.75" customHeight="1">
      <c r="A57" s="35" t="s">
        <v>122</v>
      </c>
      <c r="B57" s="17">
        <f>'Daily Input'!L167</f>
        <v>0</v>
      </c>
      <c r="C57" s="17">
        <f>'Daily Input'!M167</f>
        <v>0</v>
      </c>
      <c r="D57" s="17">
        <f>'Daily Input'!N167</f>
        <v>0</v>
      </c>
      <c r="E57" s="18">
        <f t="shared" ref="E57:F57" si="47">IF(B57=0,0,C57/B57)</f>
        <v>0</v>
      </c>
      <c r="F57" s="18">
        <f t="shared" si="47"/>
        <v>0</v>
      </c>
    </row>
    <row r="58" ht="15.75" customHeight="1">
      <c r="A58" s="35" t="s">
        <v>123</v>
      </c>
      <c r="B58" s="17">
        <f>'Daily Input'!L200</f>
        <v>0</v>
      </c>
      <c r="C58" s="17">
        <f>'Daily Input'!M200</f>
        <v>0</v>
      </c>
      <c r="D58" s="17">
        <f>'Daily Input'!N200</f>
        <v>0</v>
      </c>
      <c r="E58" s="18">
        <f t="shared" ref="E58:F58" si="48">IF(B58=0,0,C58/B58)</f>
        <v>0</v>
      </c>
      <c r="F58" s="18">
        <f t="shared" si="48"/>
        <v>0</v>
      </c>
    </row>
    <row r="59" ht="15.75" customHeight="1">
      <c r="A59" s="35" t="s">
        <v>124</v>
      </c>
      <c r="B59" s="17">
        <f>'Daily Input'!L234</f>
        <v>0</v>
      </c>
      <c r="C59" s="17">
        <f>'Daily Input'!M234</f>
        <v>0</v>
      </c>
      <c r="D59" s="17">
        <f>'Daily Input'!N234</f>
        <v>0</v>
      </c>
      <c r="E59" s="18">
        <f t="shared" ref="E59:F59" si="49">IF(B59=0,0,C59/B59)</f>
        <v>0</v>
      </c>
      <c r="F59" s="18">
        <f t="shared" si="49"/>
        <v>0</v>
      </c>
    </row>
    <row r="60" ht="15.75" customHeight="1">
      <c r="A60" s="35" t="s">
        <v>125</v>
      </c>
      <c r="B60" s="17">
        <f>'Daily Input'!L268</f>
        <v>0</v>
      </c>
      <c r="C60" s="17">
        <f>'Daily Input'!M268</f>
        <v>0</v>
      </c>
      <c r="D60" s="17">
        <f>'Daily Input'!N268</f>
        <v>0</v>
      </c>
      <c r="E60" s="18">
        <f t="shared" ref="E60:F60" si="50">IF(B60=0,0,C60/B60)</f>
        <v>0</v>
      </c>
      <c r="F60" s="18">
        <f t="shared" si="50"/>
        <v>0</v>
      </c>
    </row>
    <row r="61" ht="15.75" customHeight="1">
      <c r="A61" s="35" t="s">
        <v>126</v>
      </c>
      <c r="B61" s="17">
        <f>'Daily Input'!L301</f>
        <v>0</v>
      </c>
      <c r="C61" s="17">
        <f>'Daily Input'!M301</f>
        <v>0</v>
      </c>
      <c r="D61" s="17">
        <f>'Daily Input'!N301</f>
        <v>0</v>
      </c>
      <c r="E61" s="18">
        <f t="shared" ref="E61:F61" si="51">IF(B61=0,0,C61/B61)</f>
        <v>0</v>
      </c>
      <c r="F61" s="18">
        <f t="shared" si="51"/>
        <v>0</v>
      </c>
    </row>
    <row r="62" ht="15.75" customHeight="1">
      <c r="A62" s="35" t="s">
        <v>127</v>
      </c>
      <c r="B62" s="17">
        <f>'Daily Input'!L335</f>
        <v>0</v>
      </c>
      <c r="C62" s="17">
        <f>'Daily Input'!M335</f>
        <v>0</v>
      </c>
      <c r="D62" s="17">
        <f>'Daily Input'!N335</f>
        <v>0</v>
      </c>
      <c r="E62" s="18">
        <f t="shared" ref="E62:F62" si="52">IF(B62=0,0,C62/B62)</f>
        <v>0</v>
      </c>
      <c r="F62" s="18">
        <f t="shared" si="52"/>
        <v>0</v>
      </c>
    </row>
    <row r="63" ht="15.75" customHeight="1">
      <c r="A63" s="35" t="s">
        <v>128</v>
      </c>
      <c r="B63" s="17">
        <f>'Daily Input'!L368</f>
        <v>0</v>
      </c>
      <c r="C63" s="17">
        <f>'Daily Input'!M368</f>
        <v>0</v>
      </c>
      <c r="D63" s="17">
        <f>'Daily Input'!N368</f>
        <v>0</v>
      </c>
      <c r="E63" s="18">
        <f t="shared" ref="E63:F63" si="53">IF(B63=0,0,C63/B63)</f>
        <v>0</v>
      </c>
      <c r="F63" s="18">
        <f t="shared" si="53"/>
        <v>0</v>
      </c>
    </row>
    <row r="64" ht="15.75" customHeight="1">
      <c r="A64" s="35" t="s">
        <v>129</v>
      </c>
      <c r="B64" s="17">
        <f>'Daily Input'!L402</f>
        <v>0</v>
      </c>
      <c r="C64" s="17">
        <f>'Daily Input'!M402</f>
        <v>0</v>
      </c>
      <c r="D64" s="17">
        <f>'Daily Input'!N402</f>
        <v>0</v>
      </c>
      <c r="E64" s="18">
        <f t="shared" ref="E64:F64" si="54">IF(B64=0,0,C64/B64)</f>
        <v>0</v>
      </c>
      <c r="F64" s="18">
        <f t="shared" si="54"/>
        <v>0</v>
      </c>
    </row>
    <row r="65" ht="15.75" customHeight="1">
      <c r="A65" s="45" t="s">
        <v>130</v>
      </c>
      <c r="B65" s="46">
        <f t="shared" ref="B65:D65" si="55">SUM(B53:B64)</f>
        <v>17</v>
      </c>
      <c r="C65" s="46">
        <f t="shared" si="55"/>
        <v>10</v>
      </c>
      <c r="D65" s="46">
        <f t="shared" si="55"/>
        <v>0</v>
      </c>
      <c r="E65" s="47">
        <f t="shared" ref="E65:F65" si="56">IF(B65=0,0,C65/B65)</f>
        <v>0.5882352941</v>
      </c>
      <c r="F65" s="47">
        <f t="shared" si="56"/>
        <v>0</v>
      </c>
    </row>
    <row r="66" ht="15.75" customHeight="1"/>
    <row r="67" ht="15.75" customHeight="1">
      <c r="A67" s="44" t="s">
        <v>134</v>
      </c>
      <c r="B67" s="4"/>
      <c r="C67" s="4"/>
      <c r="D67" s="4"/>
      <c r="E67" s="4"/>
      <c r="F67" s="5"/>
    </row>
    <row r="68" ht="15.75" customHeight="1">
      <c r="A68" s="7" t="s">
        <v>117</v>
      </c>
      <c r="B68" s="7" t="s">
        <v>16</v>
      </c>
      <c r="C68" s="7" t="s">
        <v>17</v>
      </c>
      <c r="D68" s="7" t="s">
        <v>56</v>
      </c>
      <c r="E68" s="7" t="s">
        <v>57</v>
      </c>
      <c r="F68" s="7" t="s">
        <v>58</v>
      </c>
    </row>
    <row r="69" ht="15.75" customHeight="1">
      <c r="A69" s="35" t="s">
        <v>118</v>
      </c>
      <c r="B69" s="17">
        <f>'Daily Input'!O35</f>
        <v>10</v>
      </c>
      <c r="C69" s="17">
        <f>'Daily Input'!P35</f>
        <v>5</v>
      </c>
      <c r="D69" s="17">
        <f>'Daily Input'!Q35</f>
        <v>0</v>
      </c>
      <c r="E69" s="18">
        <f t="shared" ref="E69:F69" si="57">IF(B69=0,0,C69/B69)</f>
        <v>0.5</v>
      </c>
      <c r="F69" s="18">
        <f t="shared" si="57"/>
        <v>0</v>
      </c>
    </row>
    <row r="70" ht="15.75" customHeight="1">
      <c r="A70" s="35" t="s">
        <v>119</v>
      </c>
      <c r="B70" s="17">
        <f>'Daily Input'!O66</f>
        <v>0</v>
      </c>
      <c r="C70" s="17">
        <f>'Daily Input'!P66</f>
        <v>0</v>
      </c>
      <c r="D70" s="17">
        <f>'Daily Input'!Q66</f>
        <v>0</v>
      </c>
      <c r="E70" s="18">
        <f t="shared" ref="E70:F70" si="58">IF(B70=0,0,C70/B70)</f>
        <v>0</v>
      </c>
      <c r="F70" s="18">
        <f t="shared" si="58"/>
        <v>0</v>
      </c>
    </row>
    <row r="71" ht="15.75" customHeight="1">
      <c r="A71" s="35" t="s">
        <v>120</v>
      </c>
      <c r="B71" s="17">
        <f>'Daily Input'!O100</f>
        <v>0</v>
      </c>
      <c r="C71" s="17">
        <f>'Daily Input'!P100</f>
        <v>0</v>
      </c>
      <c r="D71" s="17">
        <f>'Daily Input'!Q100</f>
        <v>0</v>
      </c>
      <c r="E71" s="18">
        <f t="shared" ref="E71:F71" si="59">IF(B71=0,0,C71/B71)</f>
        <v>0</v>
      </c>
      <c r="F71" s="18">
        <f t="shared" si="59"/>
        <v>0</v>
      </c>
    </row>
    <row r="72" ht="15.75" customHeight="1">
      <c r="A72" s="35" t="s">
        <v>121</v>
      </c>
      <c r="B72" s="17">
        <f>'Daily Input'!O133</f>
        <v>0</v>
      </c>
      <c r="C72" s="17">
        <f>'Daily Input'!P133</f>
        <v>0</v>
      </c>
      <c r="D72" s="17">
        <f>'Daily Input'!Q133</f>
        <v>0</v>
      </c>
      <c r="E72" s="18">
        <f t="shared" ref="E72:F72" si="60">IF(B72=0,0,C72/B72)</f>
        <v>0</v>
      </c>
      <c r="F72" s="18">
        <f t="shared" si="60"/>
        <v>0</v>
      </c>
    </row>
    <row r="73" ht="15.75" customHeight="1">
      <c r="A73" s="35" t="s">
        <v>122</v>
      </c>
      <c r="B73" s="17">
        <f>'Daily Input'!O167</f>
        <v>0</v>
      </c>
      <c r="C73" s="17">
        <f>'Daily Input'!P167</f>
        <v>0</v>
      </c>
      <c r="D73" s="17">
        <f>'Daily Input'!Q167</f>
        <v>0</v>
      </c>
      <c r="E73" s="18">
        <f t="shared" ref="E73:F73" si="61">IF(B73=0,0,C73/B73)</f>
        <v>0</v>
      </c>
      <c r="F73" s="18">
        <f t="shared" si="61"/>
        <v>0</v>
      </c>
    </row>
    <row r="74" ht="15.75" customHeight="1">
      <c r="A74" s="35" t="s">
        <v>123</v>
      </c>
      <c r="B74" s="17">
        <f>'Daily Input'!O200</f>
        <v>0</v>
      </c>
      <c r="C74" s="17">
        <f>'Daily Input'!P200</f>
        <v>0</v>
      </c>
      <c r="D74" s="17">
        <f>'Daily Input'!Q200</f>
        <v>0</v>
      </c>
      <c r="E74" s="18">
        <f t="shared" ref="E74:F74" si="62">IF(B74=0,0,C74/B74)</f>
        <v>0</v>
      </c>
      <c r="F74" s="18">
        <f t="shared" si="62"/>
        <v>0</v>
      </c>
    </row>
    <row r="75" ht="15.75" customHeight="1">
      <c r="A75" s="35" t="s">
        <v>124</v>
      </c>
      <c r="B75" s="17">
        <f>'Daily Input'!O234</f>
        <v>0</v>
      </c>
      <c r="C75" s="17">
        <f>'Daily Input'!P234</f>
        <v>0</v>
      </c>
      <c r="D75" s="17">
        <f>'Daily Input'!Q234</f>
        <v>0</v>
      </c>
      <c r="E75" s="18">
        <f t="shared" ref="E75:F75" si="63">IF(B75=0,0,C75/B75)</f>
        <v>0</v>
      </c>
      <c r="F75" s="18">
        <f t="shared" si="63"/>
        <v>0</v>
      </c>
    </row>
    <row r="76" ht="15.75" customHeight="1">
      <c r="A76" s="35" t="s">
        <v>125</v>
      </c>
      <c r="B76" s="17">
        <f>'Daily Input'!O268</f>
        <v>0</v>
      </c>
      <c r="C76" s="17">
        <f>'Daily Input'!P268</f>
        <v>0</v>
      </c>
      <c r="D76" s="17">
        <f>'Daily Input'!Q268</f>
        <v>0</v>
      </c>
      <c r="E76" s="18">
        <f t="shared" ref="E76:F76" si="64">IF(B76=0,0,C76/B76)</f>
        <v>0</v>
      </c>
      <c r="F76" s="18">
        <f t="shared" si="64"/>
        <v>0</v>
      </c>
    </row>
    <row r="77" ht="15.75" customHeight="1">
      <c r="A77" s="35" t="s">
        <v>126</v>
      </c>
      <c r="B77" s="17">
        <f>'Daily Input'!O301</f>
        <v>0</v>
      </c>
      <c r="C77" s="17">
        <f>'Daily Input'!P301</f>
        <v>0</v>
      </c>
      <c r="D77" s="17">
        <f>'Daily Input'!Q301</f>
        <v>0</v>
      </c>
      <c r="E77" s="18">
        <f t="shared" ref="E77:F77" si="65">IF(B77=0,0,C77/B77)</f>
        <v>0</v>
      </c>
      <c r="F77" s="18">
        <f t="shared" si="65"/>
        <v>0</v>
      </c>
    </row>
    <row r="78" ht="15.75" customHeight="1">
      <c r="A78" s="35" t="s">
        <v>127</v>
      </c>
      <c r="B78" s="17">
        <f>'Daily Input'!O335</f>
        <v>0</v>
      </c>
      <c r="C78" s="17">
        <f>'Daily Input'!P335</f>
        <v>0</v>
      </c>
      <c r="D78" s="17">
        <f>'Daily Input'!Q335</f>
        <v>0</v>
      </c>
      <c r="E78" s="18">
        <f t="shared" ref="E78:F78" si="66">IF(B78=0,0,C78/B78)</f>
        <v>0</v>
      </c>
      <c r="F78" s="18">
        <f t="shared" si="66"/>
        <v>0</v>
      </c>
    </row>
    <row r="79" ht="15.75" customHeight="1">
      <c r="A79" s="35" t="s">
        <v>128</v>
      </c>
      <c r="B79" s="17">
        <f>'Daily Input'!O368</f>
        <v>0</v>
      </c>
      <c r="C79" s="17">
        <f>'Daily Input'!P368</f>
        <v>0</v>
      </c>
      <c r="D79" s="17">
        <f>'Daily Input'!Q368</f>
        <v>0</v>
      </c>
      <c r="E79" s="18">
        <f t="shared" ref="E79:F79" si="67">IF(B79=0,0,C79/B79)</f>
        <v>0</v>
      </c>
      <c r="F79" s="18">
        <f t="shared" si="67"/>
        <v>0</v>
      </c>
    </row>
    <row r="80" ht="15.75" customHeight="1">
      <c r="A80" s="35" t="s">
        <v>129</v>
      </c>
      <c r="B80" s="17">
        <f>'Daily Input'!O402</f>
        <v>0</v>
      </c>
      <c r="C80" s="17">
        <f>'Daily Input'!P402</f>
        <v>0</v>
      </c>
      <c r="D80" s="17">
        <f>'Daily Input'!Q402</f>
        <v>0</v>
      </c>
      <c r="E80" s="18">
        <f t="shared" ref="E80:F80" si="68">IF(B80=0,0,C80/B80)</f>
        <v>0</v>
      </c>
      <c r="F80" s="18">
        <f t="shared" si="68"/>
        <v>0</v>
      </c>
    </row>
    <row r="81" ht="15.75" customHeight="1">
      <c r="A81" s="45" t="s">
        <v>130</v>
      </c>
      <c r="B81" s="46">
        <f t="shared" ref="B81:D81" si="69">SUM(B69:B80)</f>
        <v>10</v>
      </c>
      <c r="C81" s="46">
        <f t="shared" si="69"/>
        <v>5</v>
      </c>
      <c r="D81" s="46">
        <f t="shared" si="69"/>
        <v>0</v>
      </c>
      <c r="E81" s="47">
        <f t="shared" ref="E81:F81" si="70">IF(B81=0,0,C81/B81)</f>
        <v>0.5</v>
      </c>
      <c r="F81" s="47">
        <f t="shared" si="70"/>
        <v>0</v>
      </c>
    </row>
    <row r="82" ht="15.75" customHeight="1"/>
    <row r="83" ht="15.75" customHeight="1">
      <c r="A83" s="44" t="s">
        <v>135</v>
      </c>
      <c r="B83" s="4"/>
      <c r="C83" s="4"/>
      <c r="D83" s="4"/>
      <c r="E83" s="4"/>
      <c r="F83" s="5"/>
    </row>
    <row r="84" ht="15.75" customHeight="1">
      <c r="A84" s="7" t="s">
        <v>117</v>
      </c>
      <c r="B84" s="7" t="s">
        <v>16</v>
      </c>
      <c r="C84" s="7" t="s">
        <v>17</v>
      </c>
      <c r="D84" s="7" t="s">
        <v>56</v>
      </c>
      <c r="E84" s="7" t="s">
        <v>57</v>
      </c>
      <c r="F84" s="7" t="s">
        <v>58</v>
      </c>
    </row>
    <row r="85" ht="15.75" customHeight="1">
      <c r="A85" s="35" t="s">
        <v>118</v>
      </c>
      <c r="B85" s="17">
        <f>'Daily Input'!R35</f>
        <v>19</v>
      </c>
      <c r="C85" s="17">
        <f>'Daily Input'!S35</f>
        <v>11</v>
      </c>
      <c r="D85" s="17">
        <f>'Daily Input'!T35</f>
        <v>0</v>
      </c>
      <c r="E85" s="18">
        <f t="shared" ref="E85:F85" si="71">IF(B85=0,0,C85/B85)</f>
        <v>0.5789473684</v>
      </c>
      <c r="F85" s="18">
        <f t="shared" si="71"/>
        <v>0</v>
      </c>
    </row>
    <row r="86" ht="15.75" customHeight="1">
      <c r="A86" s="35" t="s">
        <v>119</v>
      </c>
      <c r="B86" s="17">
        <f>'Daily Input'!R66</f>
        <v>0</v>
      </c>
      <c r="C86" s="17">
        <f>'Daily Input'!S66</f>
        <v>0</v>
      </c>
      <c r="D86" s="17">
        <f>'Daily Input'!T66</f>
        <v>0</v>
      </c>
      <c r="E86" s="18">
        <f t="shared" ref="E86:F86" si="72">IF(B86=0,0,C86/B86)</f>
        <v>0</v>
      </c>
      <c r="F86" s="18">
        <f t="shared" si="72"/>
        <v>0</v>
      </c>
    </row>
    <row r="87" ht="15.75" customHeight="1">
      <c r="A87" s="35" t="s">
        <v>120</v>
      </c>
      <c r="B87" s="17">
        <f>'Daily Input'!R100</f>
        <v>0</v>
      </c>
      <c r="C87" s="17">
        <f>'Daily Input'!S100</f>
        <v>0</v>
      </c>
      <c r="D87" s="17">
        <f>'Daily Input'!T100</f>
        <v>0</v>
      </c>
      <c r="E87" s="18">
        <f t="shared" ref="E87:F87" si="73">IF(B87=0,0,C87/B87)</f>
        <v>0</v>
      </c>
      <c r="F87" s="18">
        <f t="shared" si="73"/>
        <v>0</v>
      </c>
    </row>
    <row r="88" ht="15.75" customHeight="1">
      <c r="A88" s="35" t="s">
        <v>121</v>
      </c>
      <c r="B88" s="17">
        <f>'Daily Input'!R133</f>
        <v>0</v>
      </c>
      <c r="C88" s="17">
        <f>'Daily Input'!S133</f>
        <v>0</v>
      </c>
      <c r="D88" s="17">
        <f>'Daily Input'!T133</f>
        <v>0</v>
      </c>
      <c r="E88" s="18">
        <f t="shared" ref="E88:F88" si="74">IF(B88=0,0,C88/B88)</f>
        <v>0</v>
      </c>
      <c r="F88" s="18">
        <f t="shared" si="74"/>
        <v>0</v>
      </c>
    </row>
    <row r="89" ht="15.75" customHeight="1">
      <c r="A89" s="35" t="s">
        <v>122</v>
      </c>
      <c r="B89" s="17">
        <f>'Daily Input'!R167</f>
        <v>0</v>
      </c>
      <c r="C89" s="17">
        <f>'Daily Input'!S167</f>
        <v>0</v>
      </c>
      <c r="D89" s="17">
        <f>'Daily Input'!T167</f>
        <v>0</v>
      </c>
      <c r="E89" s="18">
        <f t="shared" ref="E89:F89" si="75">IF(B89=0,0,C89/B89)</f>
        <v>0</v>
      </c>
      <c r="F89" s="18">
        <f t="shared" si="75"/>
        <v>0</v>
      </c>
    </row>
    <row r="90" ht="15.75" customHeight="1">
      <c r="A90" s="35" t="s">
        <v>123</v>
      </c>
      <c r="B90" s="17">
        <f>'Daily Input'!R200</f>
        <v>0</v>
      </c>
      <c r="C90" s="17">
        <f>'Daily Input'!S200</f>
        <v>0</v>
      </c>
      <c r="D90" s="17">
        <f>'Daily Input'!T200</f>
        <v>0</v>
      </c>
      <c r="E90" s="18">
        <f t="shared" ref="E90:F90" si="76">IF(B90=0,0,C90/B90)</f>
        <v>0</v>
      </c>
      <c r="F90" s="18">
        <f t="shared" si="76"/>
        <v>0</v>
      </c>
    </row>
    <row r="91" ht="15.75" customHeight="1">
      <c r="A91" s="35" t="s">
        <v>124</v>
      </c>
      <c r="B91" s="17">
        <f>'Daily Input'!R234</f>
        <v>0</v>
      </c>
      <c r="C91" s="17">
        <f>'Daily Input'!S234</f>
        <v>0</v>
      </c>
      <c r="D91" s="17">
        <f>'Daily Input'!T234</f>
        <v>0</v>
      </c>
      <c r="E91" s="18">
        <f t="shared" ref="E91:F91" si="77">IF(B91=0,0,C91/B91)</f>
        <v>0</v>
      </c>
      <c r="F91" s="18">
        <f t="shared" si="77"/>
        <v>0</v>
      </c>
    </row>
    <row r="92" ht="15.75" customHeight="1">
      <c r="A92" s="35" t="s">
        <v>125</v>
      </c>
      <c r="B92" s="17">
        <f>'Daily Input'!R268</f>
        <v>0</v>
      </c>
      <c r="C92" s="17">
        <f>'Daily Input'!S268</f>
        <v>0</v>
      </c>
      <c r="D92" s="17">
        <f>'Daily Input'!T268</f>
        <v>0</v>
      </c>
      <c r="E92" s="18">
        <f t="shared" ref="E92:F92" si="78">IF(B92=0,0,C92/B92)</f>
        <v>0</v>
      </c>
      <c r="F92" s="18">
        <f t="shared" si="78"/>
        <v>0</v>
      </c>
    </row>
    <row r="93" ht="15.75" customHeight="1">
      <c r="A93" s="35" t="s">
        <v>126</v>
      </c>
      <c r="B93" s="17">
        <f>'Daily Input'!R301</f>
        <v>0</v>
      </c>
      <c r="C93" s="17">
        <f>'Daily Input'!S301</f>
        <v>0</v>
      </c>
      <c r="D93" s="17">
        <f>'Daily Input'!T301</f>
        <v>0</v>
      </c>
      <c r="E93" s="18">
        <f t="shared" ref="E93:F93" si="79">IF(B93=0,0,C93/B93)</f>
        <v>0</v>
      </c>
      <c r="F93" s="18">
        <f t="shared" si="79"/>
        <v>0</v>
      </c>
    </row>
    <row r="94" ht="15.75" customHeight="1">
      <c r="A94" s="35" t="s">
        <v>127</v>
      </c>
      <c r="B94" s="17">
        <f>'Daily Input'!R335</f>
        <v>0</v>
      </c>
      <c r="C94" s="17">
        <f>'Daily Input'!S335</f>
        <v>0</v>
      </c>
      <c r="D94" s="17">
        <f>'Daily Input'!T335</f>
        <v>0</v>
      </c>
      <c r="E94" s="18">
        <f t="shared" ref="E94:F94" si="80">IF(B94=0,0,C94/B94)</f>
        <v>0</v>
      </c>
      <c r="F94" s="18">
        <f t="shared" si="80"/>
        <v>0</v>
      </c>
    </row>
    <row r="95" ht="15.75" customHeight="1">
      <c r="A95" s="35" t="s">
        <v>128</v>
      </c>
      <c r="B95" s="17">
        <f>'Daily Input'!R368</f>
        <v>0</v>
      </c>
      <c r="C95" s="17">
        <f>'Daily Input'!S368</f>
        <v>0</v>
      </c>
      <c r="D95" s="17">
        <f>'Daily Input'!T368</f>
        <v>0</v>
      </c>
      <c r="E95" s="18">
        <f t="shared" ref="E95:F95" si="81">IF(B95=0,0,C95/B95)</f>
        <v>0</v>
      </c>
      <c r="F95" s="18">
        <f t="shared" si="81"/>
        <v>0</v>
      </c>
    </row>
    <row r="96" ht="15.75" customHeight="1">
      <c r="A96" s="35" t="s">
        <v>129</v>
      </c>
      <c r="B96" s="17">
        <f>'Daily Input'!R402</f>
        <v>0</v>
      </c>
      <c r="C96" s="17">
        <f>'Daily Input'!S402</f>
        <v>0</v>
      </c>
      <c r="D96" s="17">
        <f>'Daily Input'!T402</f>
        <v>0</v>
      </c>
      <c r="E96" s="18">
        <f t="shared" ref="E96:F96" si="82">IF(B96=0,0,C96/B96)</f>
        <v>0</v>
      </c>
      <c r="F96" s="18">
        <f t="shared" si="82"/>
        <v>0</v>
      </c>
    </row>
    <row r="97" ht="15.75" customHeight="1">
      <c r="A97" s="45" t="s">
        <v>130</v>
      </c>
      <c r="B97" s="46">
        <f t="shared" ref="B97:D97" si="83">SUM(B85:B96)</f>
        <v>19</v>
      </c>
      <c r="C97" s="46">
        <f t="shared" si="83"/>
        <v>11</v>
      </c>
      <c r="D97" s="46">
        <f t="shared" si="83"/>
        <v>0</v>
      </c>
      <c r="E97" s="47">
        <f t="shared" ref="E97:F97" si="84">IF(B97=0,0,C97/B97)</f>
        <v>0.5789473684</v>
      </c>
      <c r="F97" s="47">
        <f t="shared" si="84"/>
        <v>0</v>
      </c>
    </row>
    <row r="98" ht="15.75" customHeight="1"/>
    <row r="99" ht="15.75" customHeight="1">
      <c r="A99" s="44" t="s">
        <v>136</v>
      </c>
      <c r="B99" s="4"/>
      <c r="C99" s="4"/>
      <c r="D99" s="4"/>
      <c r="E99" s="4"/>
      <c r="F99" s="5"/>
    </row>
    <row r="100" ht="15.75" customHeight="1">
      <c r="A100" s="7" t="s">
        <v>117</v>
      </c>
      <c r="B100" s="7" t="s">
        <v>16</v>
      </c>
      <c r="C100" s="7" t="s">
        <v>17</v>
      </c>
      <c r="D100" s="7" t="s">
        <v>56</v>
      </c>
      <c r="E100" s="7" t="s">
        <v>57</v>
      </c>
      <c r="F100" s="7" t="s">
        <v>58</v>
      </c>
    </row>
    <row r="101" ht="15.75" customHeight="1">
      <c r="A101" s="35" t="s">
        <v>118</v>
      </c>
      <c r="B101" s="17">
        <f>'Daily Input'!U35</f>
        <v>9</v>
      </c>
      <c r="C101" s="17">
        <f>'Daily Input'!V35</f>
        <v>6</v>
      </c>
      <c r="D101" s="17">
        <f>'Daily Input'!W35</f>
        <v>0</v>
      </c>
      <c r="E101" s="18">
        <f t="shared" ref="E101:F101" si="85">IF(B101=0,0,C101/B101)</f>
        <v>0.6666666667</v>
      </c>
      <c r="F101" s="18">
        <f t="shared" si="85"/>
        <v>0</v>
      </c>
    </row>
    <row r="102" ht="15.75" customHeight="1">
      <c r="A102" s="35" t="s">
        <v>119</v>
      </c>
      <c r="B102" s="17">
        <f>'Daily Input'!U66</f>
        <v>0</v>
      </c>
      <c r="C102" s="17">
        <f>'Daily Input'!V66</f>
        <v>0</v>
      </c>
      <c r="D102" s="17">
        <f>'Daily Input'!W66</f>
        <v>0</v>
      </c>
      <c r="E102" s="18">
        <f t="shared" ref="E102:F102" si="86">IF(B102=0,0,C102/B102)</f>
        <v>0</v>
      </c>
      <c r="F102" s="18">
        <f t="shared" si="86"/>
        <v>0</v>
      </c>
    </row>
    <row r="103" ht="15.75" customHeight="1">
      <c r="A103" s="35" t="s">
        <v>120</v>
      </c>
      <c r="B103" s="17">
        <f>'Daily Input'!U100</f>
        <v>0</v>
      </c>
      <c r="C103" s="17">
        <f>'Daily Input'!V100</f>
        <v>0</v>
      </c>
      <c r="D103" s="17">
        <f>'Daily Input'!W100</f>
        <v>0</v>
      </c>
      <c r="E103" s="18">
        <f t="shared" ref="E103:F103" si="87">IF(B103=0,0,C103/B103)</f>
        <v>0</v>
      </c>
      <c r="F103" s="18">
        <f t="shared" si="87"/>
        <v>0</v>
      </c>
    </row>
    <row r="104" ht="15.75" customHeight="1">
      <c r="A104" s="35" t="s">
        <v>121</v>
      </c>
      <c r="B104" s="17">
        <f>'Daily Input'!U133</f>
        <v>0</v>
      </c>
      <c r="C104" s="17">
        <f>'Daily Input'!V133</f>
        <v>0</v>
      </c>
      <c r="D104" s="17">
        <f>'Daily Input'!W133</f>
        <v>0</v>
      </c>
      <c r="E104" s="18">
        <f t="shared" ref="E104:F104" si="88">IF(B104=0,0,C104/B104)</f>
        <v>0</v>
      </c>
      <c r="F104" s="18">
        <f t="shared" si="88"/>
        <v>0</v>
      </c>
    </row>
    <row r="105" ht="15.75" customHeight="1">
      <c r="A105" s="35" t="s">
        <v>122</v>
      </c>
      <c r="B105" s="17">
        <f>'Daily Input'!U167</f>
        <v>0</v>
      </c>
      <c r="C105" s="17">
        <f>'Daily Input'!V167</f>
        <v>0</v>
      </c>
      <c r="D105" s="17">
        <f>'Daily Input'!W167</f>
        <v>0</v>
      </c>
      <c r="E105" s="18">
        <f t="shared" ref="E105:F105" si="89">IF(B105=0,0,C105/B105)</f>
        <v>0</v>
      </c>
      <c r="F105" s="18">
        <f t="shared" si="89"/>
        <v>0</v>
      </c>
    </row>
    <row r="106" ht="15.75" customHeight="1">
      <c r="A106" s="35" t="s">
        <v>123</v>
      </c>
      <c r="B106" s="17">
        <f>'Daily Input'!U200</f>
        <v>0</v>
      </c>
      <c r="C106" s="17">
        <f>'Daily Input'!V200</f>
        <v>0</v>
      </c>
      <c r="D106" s="17">
        <f>'Daily Input'!W200</f>
        <v>0</v>
      </c>
      <c r="E106" s="18">
        <f t="shared" ref="E106:F106" si="90">IF(B106=0,0,C106/B106)</f>
        <v>0</v>
      </c>
      <c r="F106" s="18">
        <f t="shared" si="90"/>
        <v>0</v>
      </c>
    </row>
    <row r="107" ht="15.75" customHeight="1">
      <c r="A107" s="35" t="s">
        <v>124</v>
      </c>
      <c r="B107" s="17">
        <f>'Daily Input'!U234</f>
        <v>0</v>
      </c>
      <c r="C107" s="17">
        <f>'Daily Input'!V234</f>
        <v>0</v>
      </c>
      <c r="D107" s="17">
        <f>'Daily Input'!W234</f>
        <v>0</v>
      </c>
      <c r="E107" s="18">
        <f t="shared" ref="E107:F107" si="91">IF(B107=0,0,C107/B107)</f>
        <v>0</v>
      </c>
      <c r="F107" s="18">
        <f t="shared" si="91"/>
        <v>0</v>
      </c>
    </row>
    <row r="108" ht="15.75" customHeight="1">
      <c r="A108" s="35" t="s">
        <v>125</v>
      </c>
      <c r="B108" s="17">
        <f>'Daily Input'!U268</f>
        <v>0</v>
      </c>
      <c r="C108" s="17">
        <f>'Daily Input'!V268</f>
        <v>0</v>
      </c>
      <c r="D108" s="17">
        <f>'Daily Input'!W268</f>
        <v>0</v>
      </c>
      <c r="E108" s="18">
        <f t="shared" ref="E108:F108" si="92">IF(B108=0,0,C108/B108)</f>
        <v>0</v>
      </c>
      <c r="F108" s="18">
        <f t="shared" si="92"/>
        <v>0</v>
      </c>
    </row>
    <row r="109" ht="15.75" customHeight="1">
      <c r="A109" s="35" t="s">
        <v>126</v>
      </c>
      <c r="B109" s="17">
        <f>'Daily Input'!U301</f>
        <v>0</v>
      </c>
      <c r="C109" s="17">
        <f>'Daily Input'!V301</f>
        <v>0</v>
      </c>
      <c r="D109" s="17">
        <f>'Daily Input'!W301</f>
        <v>0</v>
      </c>
      <c r="E109" s="18">
        <f t="shared" ref="E109:F109" si="93">IF(B109=0,0,C109/B109)</f>
        <v>0</v>
      </c>
      <c r="F109" s="18">
        <f t="shared" si="93"/>
        <v>0</v>
      </c>
    </row>
    <row r="110" ht="15.75" customHeight="1">
      <c r="A110" s="35" t="s">
        <v>127</v>
      </c>
      <c r="B110" s="17">
        <f>'Daily Input'!U335</f>
        <v>0</v>
      </c>
      <c r="C110" s="17">
        <f>'Daily Input'!V335</f>
        <v>0</v>
      </c>
      <c r="D110" s="17">
        <f>'Daily Input'!W335</f>
        <v>0</v>
      </c>
      <c r="E110" s="18">
        <f t="shared" ref="E110:F110" si="94">IF(B110=0,0,C110/B110)</f>
        <v>0</v>
      </c>
      <c r="F110" s="18">
        <f t="shared" si="94"/>
        <v>0</v>
      </c>
    </row>
    <row r="111" ht="15.75" customHeight="1">
      <c r="A111" s="35" t="s">
        <v>128</v>
      </c>
      <c r="B111" s="17">
        <f>'Daily Input'!U368</f>
        <v>0</v>
      </c>
      <c r="C111" s="17">
        <f>'Daily Input'!V368</f>
        <v>0</v>
      </c>
      <c r="D111" s="17">
        <f>'Daily Input'!W368</f>
        <v>0</v>
      </c>
      <c r="E111" s="18">
        <f t="shared" ref="E111:F111" si="95">IF(B111=0,0,C111/B111)</f>
        <v>0</v>
      </c>
      <c r="F111" s="18">
        <f t="shared" si="95"/>
        <v>0</v>
      </c>
    </row>
    <row r="112" ht="15.75" customHeight="1">
      <c r="A112" s="35" t="s">
        <v>129</v>
      </c>
      <c r="B112" s="17">
        <f>'Daily Input'!U402</f>
        <v>0</v>
      </c>
      <c r="C112" s="17">
        <f>'Daily Input'!V402</f>
        <v>0</v>
      </c>
      <c r="D112" s="17">
        <f>'Daily Input'!W402</f>
        <v>0</v>
      </c>
      <c r="E112" s="18">
        <f t="shared" ref="E112:F112" si="96">IF(B112=0,0,C112/B112)</f>
        <v>0</v>
      </c>
      <c r="F112" s="18">
        <f t="shared" si="96"/>
        <v>0</v>
      </c>
    </row>
    <row r="113" ht="15.75" customHeight="1">
      <c r="A113" s="45" t="s">
        <v>130</v>
      </c>
      <c r="B113" s="46">
        <f t="shared" ref="B113:D113" si="97">SUM(B101:B112)</f>
        <v>9</v>
      </c>
      <c r="C113" s="46">
        <f t="shared" si="97"/>
        <v>6</v>
      </c>
      <c r="D113" s="46">
        <f t="shared" si="97"/>
        <v>0</v>
      </c>
      <c r="E113" s="47">
        <f t="shared" ref="E113:F113" si="98">IF(B113=0,0,C113/B113)</f>
        <v>0.6666666667</v>
      </c>
      <c r="F113" s="47">
        <f t="shared" si="98"/>
        <v>0</v>
      </c>
    </row>
    <row r="114" ht="15.75" customHeight="1"/>
    <row r="115" ht="15.75" customHeight="1">
      <c r="A115" s="44" t="s">
        <v>137</v>
      </c>
      <c r="B115" s="4"/>
      <c r="C115" s="4"/>
      <c r="D115" s="4"/>
      <c r="E115" s="4"/>
      <c r="F115" s="5"/>
    </row>
    <row r="116" ht="15.75" customHeight="1">
      <c r="A116" s="7" t="s">
        <v>117</v>
      </c>
      <c r="B116" s="7" t="s">
        <v>16</v>
      </c>
      <c r="C116" s="7" t="s">
        <v>17</v>
      </c>
      <c r="D116" s="7" t="s">
        <v>56</v>
      </c>
      <c r="E116" s="7" t="s">
        <v>57</v>
      </c>
      <c r="F116" s="7" t="s">
        <v>58</v>
      </c>
    </row>
    <row r="117" ht="15.75" customHeight="1">
      <c r="A117" s="35" t="s">
        <v>118</v>
      </c>
      <c r="B117" s="17">
        <f>'Daily Input'!X35</f>
        <v>5</v>
      </c>
      <c r="C117" s="17">
        <f>'Daily Input'!Y35</f>
        <v>2</v>
      </c>
      <c r="D117" s="17">
        <f>'Daily Input'!Z35</f>
        <v>0</v>
      </c>
      <c r="E117" s="18">
        <f t="shared" ref="E117:F117" si="99">IF(B117=0,0,C117/B117)</f>
        <v>0.4</v>
      </c>
      <c r="F117" s="18">
        <f t="shared" si="99"/>
        <v>0</v>
      </c>
    </row>
    <row r="118" ht="15.75" customHeight="1">
      <c r="A118" s="35" t="s">
        <v>119</v>
      </c>
      <c r="B118" s="17">
        <f>'Daily Input'!X66</f>
        <v>0</v>
      </c>
      <c r="C118" s="17">
        <f>'Daily Input'!Y66</f>
        <v>0</v>
      </c>
      <c r="D118" s="17">
        <f>'Daily Input'!Z66</f>
        <v>0</v>
      </c>
      <c r="E118" s="18">
        <f t="shared" ref="E118:F118" si="100">IF(B118=0,0,C118/B118)</f>
        <v>0</v>
      </c>
      <c r="F118" s="18">
        <f t="shared" si="100"/>
        <v>0</v>
      </c>
    </row>
    <row r="119" ht="15.75" customHeight="1">
      <c r="A119" s="35" t="s">
        <v>120</v>
      </c>
      <c r="B119" s="17">
        <f>'Daily Input'!X100</f>
        <v>0</v>
      </c>
      <c r="C119" s="17">
        <f>'Daily Input'!Y100</f>
        <v>0</v>
      </c>
      <c r="D119" s="17">
        <f>'Daily Input'!Z100</f>
        <v>0</v>
      </c>
      <c r="E119" s="18">
        <f t="shared" ref="E119:F119" si="101">IF(B119=0,0,C119/B119)</f>
        <v>0</v>
      </c>
      <c r="F119" s="18">
        <f t="shared" si="101"/>
        <v>0</v>
      </c>
    </row>
    <row r="120" ht="15.75" customHeight="1">
      <c r="A120" s="35" t="s">
        <v>121</v>
      </c>
      <c r="B120" s="17">
        <f>'Daily Input'!X133</f>
        <v>0</v>
      </c>
      <c r="C120" s="17">
        <f>'Daily Input'!Y133</f>
        <v>0</v>
      </c>
      <c r="D120" s="17">
        <f>'Daily Input'!Z133</f>
        <v>0</v>
      </c>
      <c r="E120" s="18">
        <f t="shared" ref="E120:F120" si="102">IF(B120=0,0,C120/B120)</f>
        <v>0</v>
      </c>
      <c r="F120" s="18">
        <f t="shared" si="102"/>
        <v>0</v>
      </c>
    </row>
    <row r="121" ht="15.75" customHeight="1">
      <c r="A121" s="35" t="s">
        <v>122</v>
      </c>
      <c r="B121" s="17">
        <f>'Daily Input'!X167</f>
        <v>0</v>
      </c>
      <c r="C121" s="17">
        <f>'Daily Input'!Y167</f>
        <v>0</v>
      </c>
      <c r="D121" s="17">
        <f>'Daily Input'!Z167</f>
        <v>0</v>
      </c>
      <c r="E121" s="18">
        <f t="shared" ref="E121:F121" si="103">IF(B121=0,0,C121/B121)</f>
        <v>0</v>
      </c>
      <c r="F121" s="18">
        <f t="shared" si="103"/>
        <v>0</v>
      </c>
    </row>
    <row r="122" ht="15.75" customHeight="1">
      <c r="A122" s="35" t="s">
        <v>123</v>
      </c>
      <c r="B122" s="17">
        <f>'Daily Input'!X200</f>
        <v>0</v>
      </c>
      <c r="C122" s="17">
        <f>'Daily Input'!Y200</f>
        <v>0</v>
      </c>
      <c r="D122" s="17">
        <f>'Daily Input'!Z200</f>
        <v>0</v>
      </c>
      <c r="E122" s="18">
        <f t="shared" ref="E122:F122" si="104">IF(B122=0,0,C122/B122)</f>
        <v>0</v>
      </c>
      <c r="F122" s="18">
        <f t="shared" si="104"/>
        <v>0</v>
      </c>
    </row>
    <row r="123" ht="15.75" customHeight="1">
      <c r="A123" s="35" t="s">
        <v>124</v>
      </c>
      <c r="B123" s="17">
        <f>'Daily Input'!X234</f>
        <v>0</v>
      </c>
      <c r="C123" s="17">
        <f>'Daily Input'!Y234</f>
        <v>0</v>
      </c>
      <c r="D123" s="17">
        <f>'Daily Input'!Z234</f>
        <v>0</v>
      </c>
      <c r="E123" s="18">
        <f t="shared" ref="E123:F123" si="105">IF(B123=0,0,C123/B123)</f>
        <v>0</v>
      </c>
      <c r="F123" s="18">
        <f t="shared" si="105"/>
        <v>0</v>
      </c>
    </row>
    <row r="124" ht="15.75" customHeight="1">
      <c r="A124" s="35" t="s">
        <v>125</v>
      </c>
      <c r="B124" s="17">
        <f>'Daily Input'!X268</f>
        <v>0</v>
      </c>
      <c r="C124" s="17">
        <f>'Daily Input'!Y268</f>
        <v>0</v>
      </c>
      <c r="D124" s="17">
        <f>'Daily Input'!Z268</f>
        <v>0</v>
      </c>
      <c r="E124" s="18">
        <f t="shared" ref="E124:F124" si="106">IF(B124=0,0,C124/B124)</f>
        <v>0</v>
      </c>
      <c r="F124" s="18">
        <f t="shared" si="106"/>
        <v>0</v>
      </c>
    </row>
    <row r="125" ht="15.75" customHeight="1">
      <c r="A125" s="35" t="s">
        <v>126</v>
      </c>
      <c r="B125" s="17">
        <f>'Daily Input'!X301</f>
        <v>0</v>
      </c>
      <c r="C125" s="17">
        <f>'Daily Input'!Y301</f>
        <v>0</v>
      </c>
      <c r="D125" s="17">
        <f>'Daily Input'!Z301</f>
        <v>0</v>
      </c>
      <c r="E125" s="18">
        <f t="shared" ref="E125:F125" si="107">IF(B125=0,0,C125/B125)</f>
        <v>0</v>
      </c>
      <c r="F125" s="18">
        <f t="shared" si="107"/>
        <v>0</v>
      </c>
    </row>
    <row r="126" ht="15.75" customHeight="1">
      <c r="A126" s="35" t="s">
        <v>127</v>
      </c>
      <c r="B126" s="17">
        <f>'Daily Input'!X335</f>
        <v>0</v>
      </c>
      <c r="C126" s="17">
        <f>'Daily Input'!Y335</f>
        <v>0</v>
      </c>
      <c r="D126" s="17">
        <f>'Daily Input'!Z335</f>
        <v>0</v>
      </c>
      <c r="E126" s="18">
        <f t="shared" ref="E126:F126" si="108">IF(B126=0,0,C126/B126)</f>
        <v>0</v>
      </c>
      <c r="F126" s="18">
        <f t="shared" si="108"/>
        <v>0</v>
      </c>
    </row>
    <row r="127" ht="15.75" customHeight="1">
      <c r="A127" s="35" t="s">
        <v>128</v>
      </c>
      <c r="B127" s="17">
        <f>'Daily Input'!X368</f>
        <v>0</v>
      </c>
      <c r="C127" s="17">
        <f>'Daily Input'!Y368</f>
        <v>0</v>
      </c>
      <c r="D127" s="17">
        <f>'Daily Input'!Z368</f>
        <v>0</v>
      </c>
      <c r="E127" s="18">
        <f t="shared" ref="E127:F127" si="109">IF(B127=0,0,C127/B127)</f>
        <v>0</v>
      </c>
      <c r="F127" s="18">
        <f t="shared" si="109"/>
        <v>0</v>
      </c>
    </row>
    <row r="128" ht="15.75" customHeight="1">
      <c r="A128" s="35" t="s">
        <v>129</v>
      </c>
      <c r="B128" s="17">
        <f>'Daily Input'!X402</f>
        <v>0</v>
      </c>
      <c r="C128" s="17">
        <f>'Daily Input'!Y402</f>
        <v>0</v>
      </c>
      <c r="D128" s="17">
        <f>'Daily Input'!Z402</f>
        <v>0</v>
      </c>
      <c r="E128" s="18">
        <f t="shared" ref="E128:F128" si="110">IF(B128=0,0,C128/B128)</f>
        <v>0</v>
      </c>
      <c r="F128" s="18">
        <f t="shared" si="110"/>
        <v>0</v>
      </c>
    </row>
    <row r="129" ht="15.75" customHeight="1">
      <c r="A129" s="45" t="s">
        <v>130</v>
      </c>
      <c r="B129" s="46">
        <f t="shared" ref="B129:D129" si="111">SUM(B117:B128)</f>
        <v>5</v>
      </c>
      <c r="C129" s="46">
        <f t="shared" si="111"/>
        <v>2</v>
      </c>
      <c r="D129" s="46">
        <f t="shared" si="111"/>
        <v>0</v>
      </c>
      <c r="E129" s="47">
        <f t="shared" ref="E129:F129" si="112">IF(B129=0,0,C129/B129)</f>
        <v>0.4</v>
      </c>
      <c r="F129" s="47">
        <f t="shared" si="112"/>
        <v>0</v>
      </c>
    </row>
    <row r="130" ht="15.75" customHeight="1"/>
    <row r="131" ht="15.75" customHeight="1">
      <c r="A131" s="44" t="s">
        <v>138</v>
      </c>
      <c r="B131" s="4"/>
      <c r="C131" s="4"/>
      <c r="D131" s="4"/>
      <c r="E131" s="4"/>
      <c r="F131" s="5"/>
    </row>
    <row r="132" ht="15.75" customHeight="1">
      <c r="A132" s="7" t="s">
        <v>117</v>
      </c>
      <c r="B132" s="7" t="s">
        <v>16</v>
      </c>
      <c r="C132" s="7" t="s">
        <v>17</v>
      </c>
      <c r="D132" s="7" t="s">
        <v>56</v>
      </c>
      <c r="E132" s="7" t="s">
        <v>57</v>
      </c>
      <c r="F132" s="7" t="s">
        <v>58</v>
      </c>
    </row>
    <row r="133" ht="15.75" customHeight="1">
      <c r="A133" s="35" t="s">
        <v>118</v>
      </c>
      <c r="B133" s="17">
        <f>'Daily Input'!AA35</f>
        <v>2</v>
      </c>
      <c r="C133" s="17">
        <f>'Daily Input'!AB35</f>
        <v>2</v>
      </c>
      <c r="D133" s="17">
        <f>'Daily Input'!AC35</f>
        <v>0</v>
      </c>
      <c r="E133" s="18">
        <f t="shared" ref="E133:F133" si="113">IF(B133=0,0,C133/B133)</f>
        <v>1</v>
      </c>
      <c r="F133" s="18">
        <f t="shared" si="113"/>
        <v>0</v>
      </c>
    </row>
    <row r="134" ht="15.75" customHeight="1">
      <c r="A134" s="35" t="s">
        <v>119</v>
      </c>
      <c r="B134" s="17">
        <f>'Daily Input'!AA66</f>
        <v>0</v>
      </c>
      <c r="C134" s="17">
        <f>'Daily Input'!AB66</f>
        <v>0</v>
      </c>
      <c r="D134" s="17">
        <f>'Daily Input'!AC66</f>
        <v>0</v>
      </c>
      <c r="E134" s="18">
        <f t="shared" ref="E134:F134" si="114">IF(B134=0,0,C134/B134)</f>
        <v>0</v>
      </c>
      <c r="F134" s="18">
        <f t="shared" si="114"/>
        <v>0</v>
      </c>
    </row>
    <row r="135" ht="15.75" customHeight="1">
      <c r="A135" s="35" t="s">
        <v>120</v>
      </c>
      <c r="B135" s="17">
        <f>'Daily Input'!AA100</f>
        <v>0</v>
      </c>
      <c r="C135" s="17">
        <f>'Daily Input'!AB100</f>
        <v>0</v>
      </c>
      <c r="D135" s="17">
        <f>'Daily Input'!AC100</f>
        <v>0</v>
      </c>
      <c r="E135" s="18">
        <f t="shared" ref="E135:F135" si="115">IF(B135=0,0,C135/B135)</f>
        <v>0</v>
      </c>
      <c r="F135" s="18">
        <f t="shared" si="115"/>
        <v>0</v>
      </c>
    </row>
    <row r="136" ht="15.75" customHeight="1">
      <c r="A136" s="35" t="s">
        <v>121</v>
      </c>
      <c r="B136" s="17">
        <f>'Daily Input'!AA133</f>
        <v>0</v>
      </c>
      <c r="C136" s="17">
        <f>'Daily Input'!AB133</f>
        <v>0</v>
      </c>
      <c r="D136" s="17">
        <f>'Daily Input'!AC133</f>
        <v>0</v>
      </c>
      <c r="E136" s="18">
        <f t="shared" ref="E136:F136" si="116">IF(B136=0,0,C136/B136)</f>
        <v>0</v>
      </c>
      <c r="F136" s="18">
        <f t="shared" si="116"/>
        <v>0</v>
      </c>
    </row>
    <row r="137" ht="15.75" customHeight="1">
      <c r="A137" s="35" t="s">
        <v>122</v>
      </c>
      <c r="B137" s="17">
        <f>'Daily Input'!AA167</f>
        <v>0</v>
      </c>
      <c r="C137" s="17">
        <f>'Daily Input'!AB167</f>
        <v>0</v>
      </c>
      <c r="D137" s="17">
        <f>'Daily Input'!AC167</f>
        <v>0</v>
      </c>
      <c r="E137" s="18">
        <f t="shared" ref="E137:F137" si="117">IF(B137=0,0,C137/B137)</f>
        <v>0</v>
      </c>
      <c r="F137" s="18">
        <f t="shared" si="117"/>
        <v>0</v>
      </c>
    </row>
    <row r="138" ht="15.75" customHeight="1">
      <c r="A138" s="35" t="s">
        <v>123</v>
      </c>
      <c r="B138" s="17">
        <f>'Daily Input'!AA200</f>
        <v>0</v>
      </c>
      <c r="C138" s="17">
        <f>'Daily Input'!AB200</f>
        <v>0</v>
      </c>
      <c r="D138" s="17">
        <f>'Daily Input'!AC200</f>
        <v>0</v>
      </c>
      <c r="E138" s="18">
        <f t="shared" ref="E138:F138" si="118">IF(B138=0,0,C138/B138)</f>
        <v>0</v>
      </c>
      <c r="F138" s="18">
        <f t="shared" si="118"/>
        <v>0</v>
      </c>
    </row>
    <row r="139" ht="15.75" customHeight="1">
      <c r="A139" s="35" t="s">
        <v>124</v>
      </c>
      <c r="B139" s="17">
        <f>'Daily Input'!AA234</f>
        <v>0</v>
      </c>
      <c r="C139" s="17">
        <f>'Daily Input'!AB234</f>
        <v>0</v>
      </c>
      <c r="D139" s="17">
        <f>'Daily Input'!AC234</f>
        <v>0</v>
      </c>
      <c r="E139" s="18">
        <f t="shared" ref="E139:F139" si="119">IF(B139=0,0,C139/B139)</f>
        <v>0</v>
      </c>
      <c r="F139" s="18">
        <f t="shared" si="119"/>
        <v>0</v>
      </c>
    </row>
    <row r="140" ht="15.75" customHeight="1">
      <c r="A140" s="35" t="s">
        <v>125</v>
      </c>
      <c r="B140" s="17">
        <f>'Daily Input'!AA268</f>
        <v>0</v>
      </c>
      <c r="C140" s="17">
        <f>'Daily Input'!AB268</f>
        <v>0</v>
      </c>
      <c r="D140" s="17">
        <f>'Daily Input'!AC268</f>
        <v>0</v>
      </c>
      <c r="E140" s="18">
        <f t="shared" ref="E140:F140" si="120">IF(B140=0,0,C140/B140)</f>
        <v>0</v>
      </c>
      <c r="F140" s="18">
        <f t="shared" si="120"/>
        <v>0</v>
      </c>
    </row>
    <row r="141" ht="15.75" customHeight="1">
      <c r="A141" s="35" t="s">
        <v>126</v>
      </c>
      <c r="B141" s="17">
        <f>'Daily Input'!AA301</f>
        <v>0</v>
      </c>
      <c r="C141" s="17">
        <f>'Daily Input'!AB301</f>
        <v>0</v>
      </c>
      <c r="D141" s="17">
        <f>'Daily Input'!AC301</f>
        <v>0</v>
      </c>
      <c r="E141" s="18">
        <f t="shared" ref="E141:F141" si="121">IF(B141=0,0,C141/B141)</f>
        <v>0</v>
      </c>
      <c r="F141" s="18">
        <f t="shared" si="121"/>
        <v>0</v>
      </c>
    </row>
    <row r="142" ht="15.75" customHeight="1">
      <c r="A142" s="35" t="s">
        <v>127</v>
      </c>
      <c r="B142" s="17">
        <f>'Daily Input'!AA335</f>
        <v>0</v>
      </c>
      <c r="C142" s="17">
        <f>'Daily Input'!AB335</f>
        <v>0</v>
      </c>
      <c r="D142" s="17">
        <f>'Daily Input'!AC335</f>
        <v>0</v>
      </c>
      <c r="E142" s="18">
        <f t="shared" ref="E142:F142" si="122">IF(B142=0,0,C142/B142)</f>
        <v>0</v>
      </c>
      <c r="F142" s="18">
        <f t="shared" si="122"/>
        <v>0</v>
      </c>
    </row>
    <row r="143" ht="15.75" customHeight="1">
      <c r="A143" s="35" t="s">
        <v>128</v>
      </c>
      <c r="B143" s="17">
        <f>'Daily Input'!AA368</f>
        <v>0</v>
      </c>
      <c r="C143" s="17">
        <f>'Daily Input'!AB368</f>
        <v>0</v>
      </c>
      <c r="D143" s="17">
        <f>'Daily Input'!AC368</f>
        <v>0</v>
      </c>
      <c r="E143" s="18">
        <f t="shared" ref="E143:F143" si="123">IF(B143=0,0,C143/B143)</f>
        <v>0</v>
      </c>
      <c r="F143" s="18">
        <f t="shared" si="123"/>
        <v>0</v>
      </c>
    </row>
    <row r="144" ht="15.75" customHeight="1">
      <c r="A144" s="35" t="s">
        <v>129</v>
      </c>
      <c r="B144" s="17">
        <f>'Daily Input'!AA402</f>
        <v>0</v>
      </c>
      <c r="C144" s="17">
        <f>'Daily Input'!AB402</f>
        <v>0</v>
      </c>
      <c r="D144" s="17">
        <f>'Daily Input'!AC402</f>
        <v>0</v>
      </c>
      <c r="E144" s="18">
        <f t="shared" ref="E144:F144" si="124">IF(B144=0,0,C144/B144)</f>
        <v>0</v>
      </c>
      <c r="F144" s="18">
        <f t="shared" si="124"/>
        <v>0</v>
      </c>
    </row>
    <row r="145" ht="15.75" customHeight="1">
      <c r="A145" s="45" t="s">
        <v>130</v>
      </c>
      <c r="B145" s="46">
        <f t="shared" ref="B145:D145" si="125">SUM(B133:B144)</f>
        <v>2</v>
      </c>
      <c r="C145" s="46">
        <f t="shared" si="125"/>
        <v>2</v>
      </c>
      <c r="D145" s="46">
        <f t="shared" si="125"/>
        <v>0</v>
      </c>
      <c r="E145" s="47">
        <f t="shared" ref="E145:F145" si="126">IF(B145=0,0,C145/B145)</f>
        <v>1</v>
      </c>
      <c r="F145" s="47">
        <f t="shared" si="126"/>
        <v>0</v>
      </c>
    </row>
    <row r="146" ht="15.75" customHeight="1"/>
    <row r="147" ht="15.75" customHeight="1">
      <c r="A147" s="44" t="s">
        <v>139</v>
      </c>
      <c r="B147" s="4"/>
      <c r="C147" s="4"/>
      <c r="D147" s="4"/>
      <c r="E147" s="4"/>
      <c r="F147" s="5"/>
    </row>
    <row r="148" ht="15.75" customHeight="1">
      <c r="A148" s="7" t="s">
        <v>117</v>
      </c>
      <c r="B148" s="7" t="s">
        <v>16</v>
      </c>
      <c r="C148" s="7" t="s">
        <v>17</v>
      </c>
      <c r="D148" s="7" t="s">
        <v>56</v>
      </c>
      <c r="E148" s="7" t="s">
        <v>57</v>
      </c>
      <c r="F148" s="7" t="s">
        <v>58</v>
      </c>
    </row>
    <row r="149" ht="15.75" customHeight="1">
      <c r="A149" s="35" t="s">
        <v>118</v>
      </c>
      <c r="B149" s="17">
        <f>'Daily Input'!AD35</f>
        <v>0</v>
      </c>
      <c r="C149" s="17">
        <f>'Daily Input'!AE35</f>
        <v>0</v>
      </c>
      <c r="D149" s="17">
        <f>'Daily Input'!AF35</f>
        <v>0</v>
      </c>
      <c r="E149" s="18">
        <f t="shared" ref="E149:F149" si="127">IF(B149=0,0,C149/B149)</f>
        <v>0</v>
      </c>
      <c r="F149" s="18">
        <f t="shared" si="127"/>
        <v>0</v>
      </c>
    </row>
    <row r="150" ht="15.75" customHeight="1">
      <c r="A150" s="35" t="s">
        <v>119</v>
      </c>
      <c r="B150" s="17">
        <f>'Daily Input'!AD66</f>
        <v>0</v>
      </c>
      <c r="C150" s="17">
        <f>'Daily Input'!AE66</f>
        <v>0</v>
      </c>
      <c r="D150" s="17">
        <f>'Daily Input'!AF66</f>
        <v>0</v>
      </c>
      <c r="E150" s="18">
        <f t="shared" ref="E150:F150" si="128">IF(B150=0,0,C150/B150)</f>
        <v>0</v>
      </c>
      <c r="F150" s="18">
        <f t="shared" si="128"/>
        <v>0</v>
      </c>
    </row>
    <row r="151" ht="15.75" customHeight="1">
      <c r="A151" s="35" t="s">
        <v>120</v>
      </c>
      <c r="B151" s="17">
        <f>'Daily Input'!AD100</f>
        <v>0</v>
      </c>
      <c r="C151" s="17">
        <f>'Daily Input'!AE100</f>
        <v>0</v>
      </c>
      <c r="D151" s="17">
        <f>'Daily Input'!AF100</f>
        <v>0</v>
      </c>
      <c r="E151" s="18">
        <f t="shared" ref="E151:F151" si="129">IF(B151=0,0,C151/B151)</f>
        <v>0</v>
      </c>
      <c r="F151" s="18">
        <f t="shared" si="129"/>
        <v>0</v>
      </c>
    </row>
    <row r="152" ht="15.75" customHeight="1">
      <c r="A152" s="35" t="s">
        <v>121</v>
      </c>
      <c r="B152" s="17">
        <f>'Daily Input'!AD133</f>
        <v>0</v>
      </c>
      <c r="C152" s="17">
        <f>'Daily Input'!AE133</f>
        <v>0</v>
      </c>
      <c r="D152" s="17">
        <f>'Daily Input'!AF133</f>
        <v>0</v>
      </c>
      <c r="E152" s="18">
        <f t="shared" ref="E152:F152" si="130">IF(B152=0,0,C152/B152)</f>
        <v>0</v>
      </c>
      <c r="F152" s="18">
        <f t="shared" si="130"/>
        <v>0</v>
      </c>
    </row>
    <row r="153" ht="15.75" customHeight="1">
      <c r="A153" s="35" t="s">
        <v>122</v>
      </c>
      <c r="B153" s="17">
        <f>'Daily Input'!AD167</f>
        <v>0</v>
      </c>
      <c r="C153" s="17">
        <f>'Daily Input'!AE167</f>
        <v>0</v>
      </c>
      <c r="D153" s="17">
        <f>'Daily Input'!AF167</f>
        <v>0</v>
      </c>
      <c r="E153" s="18">
        <f t="shared" ref="E153:F153" si="131">IF(B153=0,0,C153/B153)</f>
        <v>0</v>
      </c>
      <c r="F153" s="18">
        <f t="shared" si="131"/>
        <v>0</v>
      </c>
    </row>
    <row r="154" ht="15.75" customHeight="1">
      <c r="A154" s="35" t="s">
        <v>123</v>
      </c>
      <c r="B154" s="17">
        <f>'Daily Input'!AD200</f>
        <v>0</v>
      </c>
      <c r="C154" s="17">
        <f>'Daily Input'!AE200</f>
        <v>0</v>
      </c>
      <c r="D154" s="17">
        <f>'Daily Input'!AF200</f>
        <v>0</v>
      </c>
      <c r="E154" s="18">
        <f t="shared" ref="E154:F154" si="132">IF(B154=0,0,C154/B154)</f>
        <v>0</v>
      </c>
      <c r="F154" s="18">
        <f t="shared" si="132"/>
        <v>0</v>
      </c>
    </row>
    <row r="155" ht="15.75" customHeight="1">
      <c r="A155" s="35" t="s">
        <v>124</v>
      </c>
      <c r="B155" s="17">
        <f>'Daily Input'!AD234</f>
        <v>0</v>
      </c>
      <c r="C155" s="17">
        <f>'Daily Input'!AE234</f>
        <v>0</v>
      </c>
      <c r="D155" s="17">
        <f>'Daily Input'!AF234</f>
        <v>0</v>
      </c>
      <c r="E155" s="18">
        <f t="shared" ref="E155:F155" si="133">IF(B155=0,0,C155/B155)</f>
        <v>0</v>
      </c>
      <c r="F155" s="18">
        <f t="shared" si="133"/>
        <v>0</v>
      </c>
    </row>
    <row r="156" ht="15.75" customHeight="1">
      <c r="A156" s="35" t="s">
        <v>125</v>
      </c>
      <c r="B156" s="17">
        <f>'Daily Input'!AD268</f>
        <v>0</v>
      </c>
      <c r="C156" s="17">
        <f>'Daily Input'!AE268</f>
        <v>0</v>
      </c>
      <c r="D156" s="17">
        <f>'Daily Input'!AF268</f>
        <v>0</v>
      </c>
      <c r="E156" s="18">
        <f t="shared" ref="E156:F156" si="134">IF(B156=0,0,C156/B156)</f>
        <v>0</v>
      </c>
      <c r="F156" s="18">
        <f t="shared" si="134"/>
        <v>0</v>
      </c>
    </row>
    <row r="157" ht="15.75" customHeight="1">
      <c r="A157" s="35" t="s">
        <v>126</v>
      </c>
      <c r="B157" s="17">
        <f>'Daily Input'!AD301</f>
        <v>0</v>
      </c>
      <c r="C157" s="17">
        <f>'Daily Input'!AE301</f>
        <v>0</v>
      </c>
      <c r="D157" s="17">
        <f>'Daily Input'!AF301</f>
        <v>0</v>
      </c>
      <c r="E157" s="18">
        <f t="shared" ref="E157:F157" si="135">IF(B157=0,0,C157/B157)</f>
        <v>0</v>
      </c>
      <c r="F157" s="18">
        <f t="shared" si="135"/>
        <v>0</v>
      </c>
    </row>
    <row r="158" ht="15.75" customHeight="1">
      <c r="A158" s="35" t="s">
        <v>127</v>
      </c>
      <c r="B158" s="17">
        <f>'Daily Input'!AD335</f>
        <v>0</v>
      </c>
      <c r="C158" s="17">
        <f>'Daily Input'!AE335</f>
        <v>0</v>
      </c>
      <c r="D158" s="17">
        <f>'Daily Input'!AF335</f>
        <v>0</v>
      </c>
      <c r="E158" s="18">
        <f t="shared" ref="E158:F158" si="136">IF(B158=0,0,C158/B158)</f>
        <v>0</v>
      </c>
      <c r="F158" s="18">
        <f t="shared" si="136"/>
        <v>0</v>
      </c>
    </row>
    <row r="159" ht="15.75" customHeight="1">
      <c r="A159" s="35" t="s">
        <v>128</v>
      </c>
      <c r="B159" s="17">
        <f>'Daily Input'!AD368</f>
        <v>0</v>
      </c>
      <c r="C159" s="17">
        <f>'Daily Input'!AE368</f>
        <v>0</v>
      </c>
      <c r="D159" s="17">
        <f>'Daily Input'!AF368</f>
        <v>0</v>
      </c>
      <c r="E159" s="18">
        <f t="shared" ref="E159:F159" si="137">IF(B159=0,0,C159/B159)</f>
        <v>0</v>
      </c>
      <c r="F159" s="18">
        <f t="shared" si="137"/>
        <v>0</v>
      </c>
    </row>
    <row r="160" ht="15.75" customHeight="1">
      <c r="A160" s="35" t="s">
        <v>129</v>
      </c>
      <c r="B160" s="17">
        <f>'Daily Input'!AD402</f>
        <v>0</v>
      </c>
      <c r="C160" s="17">
        <f>'Daily Input'!AE402</f>
        <v>0</v>
      </c>
      <c r="D160" s="17">
        <f>'Daily Input'!AF402</f>
        <v>0</v>
      </c>
      <c r="E160" s="18">
        <f t="shared" ref="E160:F160" si="138">IF(B160=0,0,C160/B160)</f>
        <v>0</v>
      </c>
      <c r="F160" s="18">
        <f t="shared" si="138"/>
        <v>0</v>
      </c>
    </row>
    <row r="161" ht="15.75" customHeight="1">
      <c r="A161" s="45" t="s">
        <v>130</v>
      </c>
      <c r="B161" s="46">
        <f t="shared" ref="B161:D161" si="139">SUM(B149:B160)</f>
        <v>0</v>
      </c>
      <c r="C161" s="46">
        <f t="shared" si="139"/>
        <v>0</v>
      </c>
      <c r="D161" s="46">
        <f t="shared" si="139"/>
        <v>0</v>
      </c>
      <c r="E161" s="47">
        <f t="shared" ref="E161:F161" si="140">IF(B161=0,0,C161/B161)</f>
        <v>0</v>
      </c>
      <c r="F161" s="47">
        <f t="shared" si="140"/>
        <v>0</v>
      </c>
    </row>
    <row r="162" ht="15.75" customHeight="1"/>
    <row r="163" ht="15.75" customHeight="1">
      <c r="A163" s="44" t="s">
        <v>140</v>
      </c>
      <c r="B163" s="4"/>
      <c r="C163" s="4"/>
      <c r="D163" s="4"/>
      <c r="E163" s="4"/>
      <c r="F163" s="5"/>
    </row>
    <row r="164" ht="15.75" customHeight="1">
      <c r="A164" s="7" t="s">
        <v>117</v>
      </c>
      <c r="B164" s="7" t="s">
        <v>16</v>
      </c>
      <c r="C164" s="7" t="s">
        <v>17</v>
      </c>
      <c r="D164" s="7" t="s">
        <v>56</v>
      </c>
      <c r="E164" s="7" t="s">
        <v>57</v>
      </c>
      <c r="F164" s="7" t="s">
        <v>58</v>
      </c>
    </row>
    <row r="165" ht="15.75" customHeight="1">
      <c r="A165" s="35" t="s">
        <v>118</v>
      </c>
      <c r="B165" s="17">
        <f>'Daily Input'!AG35</f>
        <v>0</v>
      </c>
      <c r="C165" s="17">
        <f>'Daily Input'!AH35</f>
        <v>0</v>
      </c>
      <c r="D165" s="17">
        <f>'Daily Input'!AI35</f>
        <v>0</v>
      </c>
      <c r="E165" s="18">
        <f t="shared" ref="E165:F165" si="141">IF(B165=0,0,C165/B165)</f>
        <v>0</v>
      </c>
      <c r="F165" s="18">
        <f t="shared" si="141"/>
        <v>0</v>
      </c>
    </row>
    <row r="166" ht="15.75" customHeight="1">
      <c r="A166" s="35" t="s">
        <v>119</v>
      </c>
      <c r="B166" s="17">
        <f>'Daily Input'!AG66</f>
        <v>0</v>
      </c>
      <c r="C166" s="17">
        <f>'Daily Input'!AH66</f>
        <v>0</v>
      </c>
      <c r="D166" s="17">
        <f>'Daily Input'!AI66</f>
        <v>0</v>
      </c>
      <c r="E166" s="18">
        <f t="shared" ref="E166:F166" si="142">IF(B166=0,0,C166/B166)</f>
        <v>0</v>
      </c>
      <c r="F166" s="18">
        <f t="shared" si="142"/>
        <v>0</v>
      </c>
    </row>
    <row r="167" ht="15.75" customHeight="1">
      <c r="A167" s="35" t="s">
        <v>120</v>
      </c>
      <c r="B167" s="17">
        <f>'Daily Input'!AG100</f>
        <v>0</v>
      </c>
      <c r="C167" s="17">
        <f>'Daily Input'!AH100</f>
        <v>0</v>
      </c>
      <c r="D167" s="17">
        <f>'Daily Input'!AI100</f>
        <v>0</v>
      </c>
      <c r="E167" s="18">
        <f t="shared" ref="E167:F167" si="143">IF(B167=0,0,C167/B167)</f>
        <v>0</v>
      </c>
      <c r="F167" s="18">
        <f t="shared" si="143"/>
        <v>0</v>
      </c>
    </row>
    <row r="168" ht="15.75" customHeight="1">
      <c r="A168" s="35" t="s">
        <v>121</v>
      </c>
      <c r="B168" s="17">
        <f>'Daily Input'!AG133</f>
        <v>0</v>
      </c>
      <c r="C168" s="17">
        <f>'Daily Input'!AH133</f>
        <v>0</v>
      </c>
      <c r="D168" s="17">
        <f>'Daily Input'!AI133</f>
        <v>0</v>
      </c>
      <c r="E168" s="18">
        <f t="shared" ref="E168:F168" si="144">IF(B168=0,0,C168/B168)</f>
        <v>0</v>
      </c>
      <c r="F168" s="18">
        <f t="shared" si="144"/>
        <v>0</v>
      </c>
    </row>
    <row r="169" ht="15.75" customHeight="1">
      <c r="A169" s="35" t="s">
        <v>122</v>
      </c>
      <c r="B169" s="17">
        <f>'Daily Input'!AG167</f>
        <v>0</v>
      </c>
      <c r="C169" s="17">
        <f>'Daily Input'!AH167</f>
        <v>0</v>
      </c>
      <c r="D169" s="17">
        <f>'Daily Input'!AI167</f>
        <v>0</v>
      </c>
      <c r="E169" s="18">
        <f t="shared" ref="E169:F169" si="145">IF(B169=0,0,C169/B169)</f>
        <v>0</v>
      </c>
      <c r="F169" s="18">
        <f t="shared" si="145"/>
        <v>0</v>
      </c>
    </row>
    <row r="170" ht="15.75" customHeight="1">
      <c r="A170" s="35" t="s">
        <v>123</v>
      </c>
      <c r="B170" s="17">
        <f>'Daily Input'!AG200</f>
        <v>0</v>
      </c>
      <c r="C170" s="17">
        <f>'Daily Input'!AH200</f>
        <v>0</v>
      </c>
      <c r="D170" s="17">
        <f>'Daily Input'!AI200</f>
        <v>0</v>
      </c>
      <c r="E170" s="18">
        <f t="shared" ref="E170:F170" si="146">IF(B170=0,0,C170/B170)</f>
        <v>0</v>
      </c>
      <c r="F170" s="18">
        <f t="shared" si="146"/>
        <v>0</v>
      </c>
    </row>
    <row r="171" ht="15.75" customHeight="1">
      <c r="A171" s="35" t="s">
        <v>124</v>
      </c>
      <c r="B171" s="17">
        <f>'Daily Input'!AG234</f>
        <v>0</v>
      </c>
      <c r="C171" s="17">
        <f>'Daily Input'!AH234</f>
        <v>0</v>
      </c>
      <c r="D171" s="17">
        <f>'Daily Input'!AI234</f>
        <v>0</v>
      </c>
      <c r="E171" s="18">
        <f t="shared" ref="E171:F171" si="147">IF(B171=0,0,C171/B171)</f>
        <v>0</v>
      </c>
      <c r="F171" s="18">
        <f t="shared" si="147"/>
        <v>0</v>
      </c>
    </row>
    <row r="172" ht="15.75" customHeight="1">
      <c r="A172" s="35" t="s">
        <v>125</v>
      </c>
      <c r="B172" s="17">
        <f>'Daily Input'!AG268</f>
        <v>0</v>
      </c>
      <c r="C172" s="17">
        <f>'Daily Input'!AH268</f>
        <v>0</v>
      </c>
      <c r="D172" s="17">
        <f>'Daily Input'!AI268</f>
        <v>0</v>
      </c>
      <c r="E172" s="18">
        <f t="shared" ref="E172:F172" si="148">IF(B172=0,0,C172/B172)</f>
        <v>0</v>
      </c>
      <c r="F172" s="18">
        <f t="shared" si="148"/>
        <v>0</v>
      </c>
    </row>
    <row r="173" ht="15.75" customHeight="1">
      <c r="A173" s="35" t="s">
        <v>126</v>
      </c>
      <c r="B173" s="17">
        <f>'Daily Input'!AG301</f>
        <v>0</v>
      </c>
      <c r="C173" s="17">
        <f>'Daily Input'!AH301</f>
        <v>0</v>
      </c>
      <c r="D173" s="17">
        <f>'Daily Input'!AI301</f>
        <v>0</v>
      </c>
      <c r="E173" s="18">
        <f t="shared" ref="E173:F173" si="149">IF(B173=0,0,C173/B173)</f>
        <v>0</v>
      </c>
      <c r="F173" s="18">
        <f t="shared" si="149"/>
        <v>0</v>
      </c>
    </row>
    <row r="174" ht="15.75" customHeight="1">
      <c r="A174" s="35" t="s">
        <v>127</v>
      </c>
      <c r="B174" s="17">
        <f>'Daily Input'!AG335</f>
        <v>0</v>
      </c>
      <c r="C174" s="17">
        <f>'Daily Input'!AH335</f>
        <v>0</v>
      </c>
      <c r="D174" s="17">
        <f>'Daily Input'!AI335</f>
        <v>0</v>
      </c>
      <c r="E174" s="18">
        <f t="shared" ref="E174:F174" si="150">IF(B174=0,0,C174/B174)</f>
        <v>0</v>
      </c>
      <c r="F174" s="18">
        <f t="shared" si="150"/>
        <v>0</v>
      </c>
    </row>
    <row r="175" ht="15.75" customHeight="1">
      <c r="A175" s="35" t="s">
        <v>128</v>
      </c>
      <c r="B175" s="17">
        <f>'Daily Input'!AG368</f>
        <v>0</v>
      </c>
      <c r="C175" s="17">
        <f>'Daily Input'!AH368</f>
        <v>0</v>
      </c>
      <c r="D175" s="17">
        <f>'Daily Input'!AI368</f>
        <v>0</v>
      </c>
      <c r="E175" s="18">
        <f t="shared" ref="E175:F175" si="151">IF(B175=0,0,C175/B175)</f>
        <v>0</v>
      </c>
      <c r="F175" s="18">
        <f t="shared" si="151"/>
        <v>0</v>
      </c>
    </row>
    <row r="176" ht="15.75" customHeight="1">
      <c r="A176" s="35" t="s">
        <v>129</v>
      </c>
      <c r="B176" s="17">
        <f>'Daily Input'!AG402</f>
        <v>0</v>
      </c>
      <c r="C176" s="17">
        <f>'Daily Input'!AH402</f>
        <v>0</v>
      </c>
      <c r="D176" s="17">
        <f>'Daily Input'!AI402</f>
        <v>0</v>
      </c>
      <c r="E176" s="18">
        <f t="shared" ref="E176:F176" si="152">IF(B176=0,0,C176/B176)</f>
        <v>0</v>
      </c>
      <c r="F176" s="18">
        <f t="shared" si="152"/>
        <v>0</v>
      </c>
    </row>
    <row r="177" ht="15.75" customHeight="1">
      <c r="A177" s="45" t="s">
        <v>130</v>
      </c>
      <c r="B177" s="46">
        <f t="shared" ref="B177:D177" si="153">SUM(B165:B176)</f>
        <v>0</v>
      </c>
      <c r="C177" s="46">
        <f t="shared" si="153"/>
        <v>0</v>
      </c>
      <c r="D177" s="46">
        <f t="shared" si="153"/>
        <v>0</v>
      </c>
      <c r="E177" s="47">
        <f t="shared" ref="E177:F177" si="154">IF(B177=0,0,C177/B177)</f>
        <v>0</v>
      </c>
      <c r="F177" s="47">
        <f t="shared" si="154"/>
        <v>0</v>
      </c>
    </row>
    <row r="178" ht="15.75" customHeight="1"/>
    <row r="179" ht="15.75" customHeight="1">
      <c r="A179" s="44" t="s">
        <v>141</v>
      </c>
      <c r="B179" s="4"/>
      <c r="C179" s="4"/>
      <c r="D179" s="4"/>
      <c r="E179" s="4"/>
      <c r="F179" s="5"/>
    </row>
    <row r="180" ht="15.75" customHeight="1">
      <c r="A180" s="7" t="s">
        <v>117</v>
      </c>
      <c r="B180" s="7" t="s">
        <v>16</v>
      </c>
      <c r="C180" s="7" t="s">
        <v>17</v>
      </c>
      <c r="D180" s="7" t="s">
        <v>56</v>
      </c>
      <c r="E180" s="7" t="s">
        <v>57</v>
      </c>
      <c r="F180" s="7" t="s">
        <v>58</v>
      </c>
    </row>
    <row r="181" ht="15.75" customHeight="1">
      <c r="A181" s="35" t="s">
        <v>118</v>
      </c>
      <c r="B181" s="17">
        <f>'Daily Input'!AJ35</f>
        <v>0</v>
      </c>
      <c r="C181" s="17">
        <f>'Daily Input'!AK35</f>
        <v>0</v>
      </c>
      <c r="D181" s="17">
        <f>'Daily Input'!AL35</f>
        <v>0</v>
      </c>
      <c r="E181" s="18">
        <f t="shared" ref="E181:F181" si="155">IF(B181=0,0,C181/B181)</f>
        <v>0</v>
      </c>
      <c r="F181" s="18">
        <f t="shared" si="155"/>
        <v>0</v>
      </c>
    </row>
    <row r="182" ht="15.75" customHeight="1">
      <c r="A182" s="35" t="s">
        <v>119</v>
      </c>
      <c r="B182" s="17">
        <f>'Daily Input'!AJ66</f>
        <v>0</v>
      </c>
      <c r="C182" s="17">
        <f>'Daily Input'!AK66</f>
        <v>0</v>
      </c>
      <c r="D182" s="17">
        <f>'Daily Input'!AL66</f>
        <v>0</v>
      </c>
      <c r="E182" s="18">
        <f t="shared" ref="E182:F182" si="156">IF(B182=0,0,C182/B182)</f>
        <v>0</v>
      </c>
      <c r="F182" s="18">
        <f t="shared" si="156"/>
        <v>0</v>
      </c>
    </row>
    <row r="183" ht="15.75" customHeight="1">
      <c r="A183" s="35" t="s">
        <v>120</v>
      </c>
      <c r="B183" s="17">
        <f>'Daily Input'!AJ100</f>
        <v>0</v>
      </c>
      <c r="C183" s="17">
        <f>'Daily Input'!AK100</f>
        <v>0</v>
      </c>
      <c r="D183" s="17">
        <f>'Daily Input'!AL100</f>
        <v>0</v>
      </c>
      <c r="E183" s="18">
        <f t="shared" ref="E183:F183" si="157">IF(B183=0,0,C183/B183)</f>
        <v>0</v>
      </c>
      <c r="F183" s="18">
        <f t="shared" si="157"/>
        <v>0</v>
      </c>
    </row>
    <row r="184" ht="15.75" customHeight="1">
      <c r="A184" s="35" t="s">
        <v>121</v>
      </c>
      <c r="B184" s="17">
        <f>'Daily Input'!AJ133</f>
        <v>0</v>
      </c>
      <c r="C184" s="17">
        <f>'Daily Input'!AK133</f>
        <v>0</v>
      </c>
      <c r="D184" s="17">
        <f>'Daily Input'!AL133</f>
        <v>0</v>
      </c>
      <c r="E184" s="18">
        <f t="shared" ref="E184:F184" si="158">IF(B184=0,0,C184/B184)</f>
        <v>0</v>
      </c>
      <c r="F184" s="18">
        <f t="shared" si="158"/>
        <v>0</v>
      </c>
    </row>
    <row r="185" ht="15.75" customHeight="1">
      <c r="A185" s="35" t="s">
        <v>122</v>
      </c>
      <c r="B185" s="17">
        <f>'Daily Input'!AJ167</f>
        <v>0</v>
      </c>
      <c r="C185" s="17">
        <f>'Daily Input'!AK167</f>
        <v>0</v>
      </c>
      <c r="D185" s="17">
        <f>'Daily Input'!AL167</f>
        <v>0</v>
      </c>
      <c r="E185" s="18">
        <f t="shared" ref="E185:F185" si="159">IF(B185=0,0,C185/B185)</f>
        <v>0</v>
      </c>
      <c r="F185" s="18">
        <f t="shared" si="159"/>
        <v>0</v>
      </c>
    </row>
    <row r="186" ht="15.75" customHeight="1">
      <c r="A186" s="35" t="s">
        <v>123</v>
      </c>
      <c r="B186" s="17">
        <f>'Daily Input'!AJ200</f>
        <v>0</v>
      </c>
      <c r="C186" s="17">
        <f>'Daily Input'!AK200</f>
        <v>0</v>
      </c>
      <c r="D186" s="17">
        <f>'Daily Input'!AL200</f>
        <v>0</v>
      </c>
      <c r="E186" s="18">
        <f t="shared" ref="E186:F186" si="160">IF(B186=0,0,C186/B186)</f>
        <v>0</v>
      </c>
      <c r="F186" s="18">
        <f t="shared" si="160"/>
        <v>0</v>
      </c>
    </row>
    <row r="187" ht="15.75" customHeight="1">
      <c r="A187" s="35" t="s">
        <v>124</v>
      </c>
      <c r="B187" s="17">
        <f>'Daily Input'!AJ234</f>
        <v>0</v>
      </c>
      <c r="C187" s="17">
        <f>'Daily Input'!AK234</f>
        <v>0</v>
      </c>
      <c r="D187" s="17">
        <f>'Daily Input'!AL234</f>
        <v>0</v>
      </c>
      <c r="E187" s="18">
        <f t="shared" ref="E187:F187" si="161">IF(B187=0,0,C187/B187)</f>
        <v>0</v>
      </c>
      <c r="F187" s="18">
        <f t="shared" si="161"/>
        <v>0</v>
      </c>
    </row>
    <row r="188" ht="15.75" customHeight="1">
      <c r="A188" s="35" t="s">
        <v>125</v>
      </c>
      <c r="B188" s="17">
        <f>'Daily Input'!AJ268</f>
        <v>0</v>
      </c>
      <c r="C188" s="17">
        <f>'Daily Input'!AK268</f>
        <v>0</v>
      </c>
      <c r="D188" s="17">
        <f>'Daily Input'!AL268</f>
        <v>0</v>
      </c>
      <c r="E188" s="18">
        <f t="shared" ref="E188:F188" si="162">IF(B188=0,0,C188/B188)</f>
        <v>0</v>
      </c>
      <c r="F188" s="18">
        <f t="shared" si="162"/>
        <v>0</v>
      </c>
    </row>
    <row r="189" ht="15.75" customHeight="1">
      <c r="A189" s="35" t="s">
        <v>126</v>
      </c>
      <c r="B189" s="17">
        <f>'Daily Input'!AJ301</f>
        <v>0</v>
      </c>
      <c r="C189" s="17">
        <f>'Daily Input'!AK301</f>
        <v>0</v>
      </c>
      <c r="D189" s="17">
        <f>'Daily Input'!AL301</f>
        <v>0</v>
      </c>
      <c r="E189" s="18">
        <f t="shared" ref="E189:F189" si="163">IF(B189=0,0,C189/B189)</f>
        <v>0</v>
      </c>
      <c r="F189" s="18">
        <f t="shared" si="163"/>
        <v>0</v>
      </c>
    </row>
    <row r="190" ht="15.75" customHeight="1">
      <c r="A190" s="35" t="s">
        <v>127</v>
      </c>
      <c r="B190" s="17">
        <f>'Daily Input'!AJ335</f>
        <v>0</v>
      </c>
      <c r="C190" s="17">
        <f>'Daily Input'!AK335</f>
        <v>0</v>
      </c>
      <c r="D190" s="17">
        <f>'Daily Input'!AL335</f>
        <v>0</v>
      </c>
      <c r="E190" s="18">
        <f t="shared" ref="E190:F190" si="164">IF(B190=0,0,C190/B190)</f>
        <v>0</v>
      </c>
      <c r="F190" s="18">
        <f t="shared" si="164"/>
        <v>0</v>
      </c>
    </row>
    <row r="191" ht="15.75" customHeight="1">
      <c r="A191" s="35" t="s">
        <v>128</v>
      </c>
      <c r="B191" s="17">
        <f>'Daily Input'!AJ368</f>
        <v>0</v>
      </c>
      <c r="C191" s="17">
        <f>'Daily Input'!AK368</f>
        <v>0</v>
      </c>
      <c r="D191" s="17">
        <f>'Daily Input'!AL368</f>
        <v>0</v>
      </c>
      <c r="E191" s="18">
        <f t="shared" ref="E191:F191" si="165">IF(B191=0,0,C191/B191)</f>
        <v>0</v>
      </c>
      <c r="F191" s="18">
        <f t="shared" si="165"/>
        <v>0</v>
      </c>
    </row>
    <row r="192" ht="15.75" customHeight="1">
      <c r="A192" s="35" t="s">
        <v>129</v>
      </c>
      <c r="B192" s="17">
        <f>'Daily Input'!AJ402</f>
        <v>0</v>
      </c>
      <c r="C192" s="17">
        <f>'Daily Input'!AK402</f>
        <v>0</v>
      </c>
      <c r="D192" s="17">
        <f>'Daily Input'!AL402</f>
        <v>0</v>
      </c>
      <c r="E192" s="18">
        <f t="shared" ref="E192:F192" si="166">IF(B192=0,0,C192/B192)</f>
        <v>0</v>
      </c>
      <c r="F192" s="18">
        <f t="shared" si="166"/>
        <v>0</v>
      </c>
    </row>
    <row r="193" ht="15.75" customHeight="1">
      <c r="A193" s="45" t="s">
        <v>130</v>
      </c>
      <c r="B193" s="46">
        <f t="shared" ref="B193:D193" si="167">SUM(B181:B192)</f>
        <v>0</v>
      </c>
      <c r="C193" s="46">
        <f t="shared" si="167"/>
        <v>0</v>
      </c>
      <c r="D193" s="46">
        <f t="shared" si="167"/>
        <v>0</v>
      </c>
      <c r="E193" s="47">
        <f t="shared" ref="E193:F193" si="168">IF(B193=0,0,C193/B193)</f>
        <v>0</v>
      </c>
      <c r="F193" s="47">
        <f t="shared" si="168"/>
        <v>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99:F99"/>
    <mergeCell ref="A115:F115"/>
    <mergeCell ref="A131:F131"/>
    <mergeCell ref="A147:F147"/>
    <mergeCell ref="A163:F163"/>
    <mergeCell ref="A179:F179"/>
    <mergeCell ref="A1:F1"/>
    <mergeCell ref="A3:F3"/>
    <mergeCell ref="A19:F19"/>
    <mergeCell ref="A35:F35"/>
    <mergeCell ref="A51:F51"/>
    <mergeCell ref="A67:F67"/>
    <mergeCell ref="A83:F83"/>
  </mergeCells>
  <printOptions/>
  <pageMargins bottom="1.0" footer="0.0" header="0.0" left="0.75" right="0.75" top="1.0"/>
  <pageSetup paperSize="9" orientation="portrait"/>
  <drawing r:id="rId1"/>
</worksheet>
</file>